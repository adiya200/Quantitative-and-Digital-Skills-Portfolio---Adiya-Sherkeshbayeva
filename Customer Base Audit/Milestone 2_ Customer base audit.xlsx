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deciles" sheetId="2" r:id="rId6"/>
    <sheet state="visible" name="d.analysis" sheetId="3" r:id="rId7"/>
    <sheet state="visible" name="cohort analysis" sheetId="4" r:id="rId8"/>
    <sheet state="visible" name="3c.analysis" sheetId="5" r:id="rId9"/>
    <sheet state="visible" name="Sheet6" sheetId="6" r:id="rId10"/>
  </sheets>
  <definedNames/>
  <calcPr/>
</workbook>
</file>

<file path=xl/sharedStrings.xml><?xml version="1.0" encoding="utf-8"?>
<sst xmlns="http://schemas.openxmlformats.org/spreadsheetml/2006/main" count="183" uniqueCount="113">
  <si>
    <t>Most companies analyze financial performance by looking at geographic segments, product lines, or channels. These perspectives overlook the fact that aggregate revenues are dependent on individual customers, and that's why analyzing the business by looking at its customers can provide managers with useful insights. This process, called a customer-base audit, can be a tool for businesses as they seek to answer five questions: Who are our best and worst customers? How is customer behavior changing? How does a cohort of customers change over time? How do different cohorts behave differently? And when you put the answers to these questions together, what do they suggest about the health of the business?</t>
  </si>
  <si>
    <t>INTRODUCTION</t>
  </si>
  <si>
    <t>KazMarket is an online retail company. The CEO wants a clear picture of the customer base. He asks CMO and his business analysts three questions .</t>
  </si>
  <si>
    <t>1. How many REAL customers does  KazMarket have today?</t>
  </si>
  <si>
    <t>2. How different are the customers in their buying behavior?</t>
  </si>
  <si>
    <t>3. How does customer behavior change over time after the first purchase?</t>
  </si>
  <si>
    <t>You will use KazMarket’s small dataset to answer these questions. The dataset shows customer spending and profit in 2024 and also includes customer cohorts who first bought in 2021. It is based on aggregated information from transactions with more than 7 million individuals.</t>
  </si>
  <si>
    <t>Answer these TECHNICAL QUESTIONS first</t>
  </si>
  <si>
    <t>1) How different are your customers? This is based on the decile analysis in 2024</t>
  </si>
  <si>
    <t>2) How does their behavior evolve over time? This is based on one cohort analysis</t>
  </si>
  <si>
    <t>3) Are different cohorts behaving differently? This us based on three cohort analysis</t>
  </si>
  <si>
    <t>4) So, how healthy is the company customer base? This is based on annual perfoamnce tab</t>
  </si>
  <si>
    <t>Now, answer these HIGHER LEVEL QUESTIONS</t>
  </si>
  <si>
    <t>How many customers does  KazMarket really have? Use a consistent definition</t>
  </si>
  <si>
    <t>What behaviors may explain the differences between the most and least profitable customers?</t>
  </si>
  <si>
    <t>How do you evaluate the health of KazMarket’s customer base.</t>
  </si>
  <si>
    <t>Based on your results, describe one strength and one weakness in KazMarket’s customer base.</t>
  </si>
  <si>
    <t>How do you evaluate KazMarket’s potential for growth.</t>
  </si>
  <si>
    <t>Other analyses would you conduct with the transactional data? Why?</t>
  </si>
  <si>
    <t>Write down your answer,  support them with numbers, clean tables and appropriate diagrams</t>
  </si>
  <si>
    <t>This exercise is adapted and rewritten from the HBR case company: Conducting a Customer Base Audit, by Eva Ascarza, Bruce G. S. Hardie, Michael Ross, and Peter S. Fader. The original case examines a U.S. retailer with a long history and an established loyalty program. A new CEO discovers major gaps in understanding the customer base and initiates a customer base audit to analyze four years of historical purchase data. you  act as the CMO and answer questions about customer value, customer characteristics, cohort patterns, and overall customer health. The case highlights the importance of descriptive analytics, customer heterogeneity, and customer dynamics for building strategies that support long term growth.</t>
  </si>
  <si>
    <t>Percentages</t>
  </si>
  <si>
    <t>Decile</t>
  </si>
  <si>
    <t># Customers</t>
  </si>
  <si>
    <t>Total Transactions</t>
  </si>
  <si>
    <t>Revenue</t>
  </si>
  <si>
    <t>Profit</t>
  </si>
  <si>
    <t>Average revenue per customer</t>
  </si>
  <si>
    <t>Average profit per customer</t>
  </si>
  <si>
    <t>AOF AVerage order frequency</t>
  </si>
  <si>
    <t>Order Value =Revenue/Transactions</t>
  </si>
  <si>
    <t>Average Margin =Profit/Revenue</t>
  </si>
  <si>
    <t>80/40</t>
  </si>
  <si>
    <t>SEGMENTATION</t>
  </si>
  <si>
    <t>TOTAL</t>
  </si>
  <si>
    <t>Table 1 Customer Decile Analysis, by Total Profitability in 2024</t>
  </si>
  <si>
    <t>Note: The number of customers in each decile varies slightly across deciles because there are ties in customer profit. The analyst could allow customers with equal profit belong to different deciles. The insights do not change.</t>
  </si>
  <si>
    <t>The company has a huge dataset for many years. For every purchase they know who the customer was, what the customer bought, when the purchase happened, and how much money the company earned on that purchase.</t>
  </si>
  <si>
    <t>For this project you do not work with the entire enormous dataset alone. Some of the heavy sifting work has already been done by your colleagues. You now start with the first slice of the data, the customers who bought something in 2024, because this is the most recent year in the dataset. Your team prepared this slice for you. The analyst then sorted these customers from the least profitable to the most profitable and split this sorted list into ten equal groups. Each group contains the same number of customers.</t>
  </si>
  <si>
    <t>Revenue per customer</t>
  </si>
  <si>
    <t>Decompose Profit into Several Columns</t>
  </si>
  <si>
    <t>This shows you which part of the customer base generates how much profit and how concentrated the profit is in the top groups. This method is called a decile analysis.</t>
  </si>
  <si>
    <t>Add four columns as simple shares/ percentage. Each value is the decile’s number divided by the total for that metric. For example, % Transactions = Transactions in the decile divided by total transactions. Use the totals in the bottom row.</t>
  </si>
  <si>
    <t>no of Transactions</t>
  </si>
  <si>
    <t>no of Customers</t>
  </si>
  <si>
    <t>then, decompose the profit  and transations (see decomposition to the right)</t>
  </si>
  <si>
    <t>Do not forget to use  the diagrams to understand each of the percentages, and each of the decomposed values,  vizually</t>
  </si>
  <si>
    <t>Average Revenue per Transaction</t>
  </si>
  <si>
    <t>Now answer these questions: How different are your customers?</t>
  </si>
  <si>
    <t xml:space="preserve">a) How many customers (whether consumers or businesses) made at least one purchase from you last year? 
b) What percentage of these customers made only one purchase?
c) How reliant are you on a small group of customers? For example, how many customers accounted for half of your revenue? For half of your profit?
d) What percentage of your customers was unprofitable? 
</t>
  </si>
  <si>
    <t xml:space="preserve">a) 31,797 custom.
b) 3,270 : 31,797 = 10.29%
3) KazMarket is highly dependent on a very small elite group of customers the top decile alone produces almost 40% of total profit
4) 0% of custom.               </t>
  </si>
  <si>
    <t>Average Revenue Per customer</t>
  </si>
  <si>
    <t>Average order frequency=no of transactions/no of customers</t>
  </si>
  <si>
    <t>Quarter</t>
  </si>
  <si>
    <t>revenue/#customers</t>
  </si>
  <si>
    <t>2021Q1</t>
  </si>
  <si>
    <t>2021Q2</t>
  </si>
  <si>
    <t>2021Q3</t>
  </si>
  <si>
    <t>2021Q4</t>
  </si>
  <si>
    <t>2022Q1</t>
  </si>
  <si>
    <t>2022Q2</t>
  </si>
  <si>
    <t>2022Q3</t>
  </si>
  <si>
    <t>2022Q4</t>
  </si>
  <si>
    <t>2023Q1</t>
  </si>
  <si>
    <t>2023Q2</t>
  </si>
  <si>
    <t>2023Q3</t>
  </si>
  <si>
    <t>2023Q4</t>
  </si>
  <si>
    <t>2024Q1</t>
  </si>
  <si>
    <t>2024Q2</t>
  </si>
  <si>
    <t>2024Q3</t>
  </si>
  <si>
    <t>2024Q4</t>
  </si>
  <si>
    <t>Now, sudy the behavior of cutomers over time</t>
  </si>
  <si>
    <t xml:space="preserve"> Think of one or two extra cuts you would run, such as</t>
  </si>
  <si>
    <t>Take the first cohort of customers</t>
  </si>
  <si>
    <t>Take everyone who made their first purchase in Q1 2021</t>
  </si>
  <si>
    <t>Multiplicative decomposition of Period Revenue for a Cohort</t>
  </si>
  <si>
    <t>Look at their (quarterly) behavior paterns until today</t>
  </si>
  <si>
    <t>Cohort size</t>
  </si>
  <si>
    <t>What patterns are most salient to you?</t>
  </si>
  <si>
    <t>No. of active customers</t>
  </si>
  <si>
    <t>Take Q1 2021 as 100 percent, the period base. For each later quarter, divide the number of active customers by the Q1 base number. The result is the active customer share.</t>
  </si>
  <si>
    <t>•What behaviors are changing over time?</t>
  </si>
  <si>
    <t>Cohort Revenue</t>
  </si>
  <si>
    <t>Percentage of  active customers</t>
  </si>
  <si>
    <t>•Why do you think that is the case?</t>
  </si>
  <si>
    <t>•What other analyses would you run?</t>
  </si>
  <si>
    <t>Average order frequency</t>
  </si>
  <si>
    <t>•What interventions would you like to test?</t>
  </si>
  <si>
    <t>Average Sales per Active Customer</t>
  </si>
  <si>
    <t>Retention: There is a sharp 88% drop in active customers after the first quarter, suggesting a low initial retention rate.
However, a "loyal core" of ~300 customers remains stable over 4 years.
Engagement: Active customers show an increasing purchase frequency over time, moving from 1.25 to nearly 1.9 transactions per quarter.
Seasonality: The cohort shows consistent peaks every Q4, indicating that this specific group is highly responsive to year-end promotions or seasonal needs.
Conclusion: The business should focus on
"onboarding" strategies in the first month to prevent the initial mass churn, as the customers who do stay become highly valuable and frequent buyers.</t>
  </si>
  <si>
    <t>Average order value</t>
  </si>
  <si>
    <t>How does their behavior evolve over time?</t>
  </si>
  <si>
    <t>•How many of our customers ever come back and buy from the company again?</t>
  </si>
  <si>
    <t>•Of those who do come back, how does their buying behavior develop over time?</t>
  </si>
  <si>
    <t>•Do they tend to buy more or less from us as they “age” as customers?</t>
  </si>
  <si>
    <t>Q3 2021</t>
  </si>
  <si>
    <t>Q4 2021</t>
  </si>
  <si>
    <t>Q4 2022</t>
  </si>
  <si>
    <t xml:space="preserve">Now,  compare differnt cohorts. Are different cohorts behaving differently?
</t>
  </si>
  <si>
    <t>Second data cut, but more of them</t>
  </si>
  <si>
    <t>Are different cohorts behaving differently?</t>
  </si>
  <si>
    <t>Yes, the Q4 2022 cohort shows significantly higher value per customer compared to earlier cohorts. While Q4 2021 was the largest in size (6,161 customers), its retention dropped faster initially.</t>
  </si>
  <si>
    <t>No. of active cohort members</t>
  </si>
  <si>
    <t>Which patterns of behaviors are more “constant” and which ones more stable?</t>
  </si>
  <si>
    <t>Seasonality is constant: all cohorts show a spike in activity during Q4 of every year. Also, the "stabilization point" (core loyal group) usually settles at around 10-15% of the original size after 3-4 quarters.</t>
  </si>
  <si>
    <t xml:space="preserve">Cohort Profit </t>
  </si>
  <si>
    <t>Percentage of  cohort members active</t>
  </si>
  <si>
    <t>What can explain differences across cohorts?</t>
  </si>
  <si>
    <t>The Q4 2021 spike was likely driven by a mass promotion, attracting "one-time" buyers. The Q4 2022 cohort is smaller but higher quality, possibly due to better-targeted marketing or improved product value.</t>
  </si>
  <si>
    <t>Are you acquiring better or worse customers over time?</t>
  </si>
  <si>
    <t>Yes. The Average Profit per active member has grown from 1.34 (Q3 2021) to 2.06 (Q4 2022). This indicates that the company is getting more efficient at acquiring high-value users.</t>
  </si>
  <si>
    <t>Average Profit per active cohort member</t>
  </si>
  <si>
    <t>Average order value* Average Margine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</si>
</sst>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0000000000000"/>
    <numFmt numFmtId="165" formatCode="0.0"/>
    <numFmt numFmtId="166" formatCode="[$$-409]#,##0"/>
  </numFmts>
  <fonts count="14">
    <font>
      <sz val="10.0"/>
      <color rgb="FF000000"/>
      <name val="Arial"/>
      <scheme val="minor"/>
    </font>
    <font>
      <sz val="12.0"/>
      <color theme="1"/>
      <name val="Calibri"/>
    </font>
    <font>
      <color theme="1"/>
      <name val="Arial"/>
    </font>
    <font>
      <b/>
      <sz val="12.0"/>
      <color theme="1"/>
      <name val="Calibri"/>
    </font>
    <font>
      <sz val="11.0"/>
      <color theme="1"/>
      <name val="Calibri"/>
    </font>
    <font>
      <sz val="11.0"/>
      <color theme="1"/>
      <name val="Arial"/>
    </font>
    <font>
      <sz val="8.0"/>
      <color theme="1"/>
      <name val="Calibri"/>
    </font>
    <font>
      <b/>
      <sz val="13.0"/>
      <color theme="1"/>
      <name val="Calibri"/>
    </font>
    <font>
      <b/>
      <sz val="8.0"/>
      <color theme="1"/>
      <name val="Calibri"/>
    </font>
    <font>
      <color theme="1"/>
      <name val="Arial"/>
      <scheme val="minor"/>
    </font>
    <font>
      <b/>
      <color theme="1"/>
      <name val="Arial"/>
    </font>
    <font>
      <color theme="1"/>
      <name val="Calibri"/>
    </font>
    <font>
      <b/>
      <color theme="1"/>
      <name val="Calibri"/>
    </font>
    <font>
      <b/>
      <sz val="11.0"/>
      <color rgb="FFC00000"/>
      <name val="Calibri"/>
    </font>
  </fonts>
  <fills count="10">
    <fill>
      <patternFill patternType="none"/>
    </fill>
    <fill>
      <patternFill patternType="lightGray"/>
    </fill>
    <fill>
      <patternFill patternType="solid">
        <fgColor rgb="FF00FF00"/>
        <bgColor rgb="FF00FF00"/>
      </patternFill>
    </fill>
    <fill>
      <patternFill patternType="solid">
        <fgColor rgb="FFFF00FF"/>
        <bgColor rgb="FFFF00FF"/>
      </patternFill>
    </fill>
    <fill>
      <patternFill patternType="solid">
        <fgColor rgb="FFE7E6E6"/>
        <bgColor rgb="FFE7E6E6"/>
      </patternFill>
    </fill>
    <fill>
      <patternFill patternType="solid">
        <fgColor rgb="FFFFFF00"/>
        <bgColor rgb="FFFFFF00"/>
      </patternFill>
    </fill>
    <fill>
      <patternFill patternType="solid">
        <fgColor rgb="FFFF9900"/>
        <bgColor rgb="FFFF9900"/>
      </patternFill>
    </fill>
    <fill>
      <patternFill patternType="solid">
        <fgColor rgb="FF999999"/>
        <bgColor rgb="FF999999"/>
      </patternFill>
    </fill>
    <fill>
      <patternFill patternType="solid">
        <fgColor rgb="FFD9D9D9"/>
        <bgColor rgb="FFD9D9D9"/>
      </patternFill>
    </fill>
    <fill>
      <patternFill patternType="solid">
        <fgColor rgb="FFFF0000"/>
        <bgColor rgb="FFFF0000"/>
      </patternFill>
    </fill>
  </fills>
  <borders count="10">
    <border/>
    <border>
      <left/>
      <right/>
      <top/>
      <bottom/>
    </border>
    <border>
      <left/>
      <right/>
      <top style="thin">
        <color rgb="FF000000"/>
      </top>
      <bottom/>
    </border>
    <border>
      <left/>
      <right/>
      <top/>
      <bottom style="double">
        <color rgb="FF000000"/>
      </bottom>
    </border>
    <border>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border>
    <border>
      <left style="thin">
        <color rgb="FF000000"/>
      </left>
      <top style="thin">
        <color rgb="FF000000"/>
      </top>
      <bottom style="thin">
        <color rgb="FF000000"/>
      </bottom>
    </border>
    <border>
      <left style="thin">
        <color rgb="FF000000"/>
      </left>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vertical="bottom"/>
    </xf>
    <xf borderId="0" fillId="2" fontId="3" numFmtId="0" xfId="0" applyAlignment="1" applyFill="1" applyFont="1">
      <alignment shrinkToFit="0" vertical="bottom" wrapText="1"/>
    </xf>
    <xf borderId="0" fillId="2" fontId="1" numFmtId="0" xfId="0" applyAlignment="1" applyFont="1">
      <alignment shrinkToFit="0" wrapText="1"/>
    </xf>
    <xf borderId="0" fillId="2" fontId="1" numFmtId="0" xfId="0" applyAlignment="1" applyFont="1">
      <alignment shrinkToFit="0" vertical="bottom" wrapText="1"/>
    </xf>
    <xf borderId="0" fillId="3" fontId="3" numFmtId="0" xfId="0" applyAlignment="1" applyFill="1" applyFont="1">
      <alignment shrinkToFit="0" vertical="bottom" wrapText="1"/>
    </xf>
    <xf borderId="0" fillId="3" fontId="1" numFmtId="0" xfId="0" applyAlignment="1" applyFont="1">
      <alignment shrinkToFit="0" vertical="bottom" wrapText="1"/>
    </xf>
    <xf borderId="0" fillId="0" fontId="2" numFmtId="10" xfId="0" applyAlignment="1" applyFont="1" applyNumberFormat="1">
      <alignment vertical="bottom"/>
    </xf>
    <xf borderId="0" fillId="0" fontId="2" numFmtId="164" xfId="0" applyAlignment="1" applyFont="1" applyNumberFormat="1">
      <alignment vertical="bottom"/>
    </xf>
    <xf borderId="0" fillId="4" fontId="4" numFmtId="0" xfId="0" applyAlignment="1" applyFill="1" applyFont="1">
      <alignment horizontal="right" shrinkToFit="0" vertical="bottom" wrapText="1"/>
    </xf>
    <xf borderId="0" fillId="4" fontId="4" numFmtId="10" xfId="0" applyAlignment="1" applyFont="1" applyNumberFormat="1">
      <alignment horizontal="right" shrinkToFit="0" vertical="bottom" wrapText="1"/>
    </xf>
    <xf borderId="0" fillId="5" fontId="2" numFmtId="0" xfId="0" applyAlignment="1" applyFill="1" applyFont="1">
      <alignment shrinkToFit="0" vertical="bottom" wrapText="1"/>
    </xf>
    <xf borderId="0" fillId="0" fontId="2" numFmtId="0" xfId="0" applyAlignment="1" applyFont="1">
      <alignment shrinkToFit="0" vertical="bottom" wrapText="1"/>
    </xf>
    <xf borderId="1" fillId="4" fontId="4" numFmtId="0" xfId="0" applyAlignment="1" applyBorder="1" applyFont="1">
      <alignment horizontal="right" vertical="bottom"/>
    </xf>
    <xf borderId="1" fillId="4" fontId="4" numFmtId="3" xfId="0" applyAlignment="1" applyBorder="1" applyFont="1" applyNumberFormat="1">
      <alignment horizontal="right" vertical="bottom"/>
    </xf>
    <xf borderId="0" fillId="0" fontId="2" numFmtId="9" xfId="0" applyAlignment="1" applyFont="1" applyNumberFormat="1">
      <alignment horizontal="right" vertical="bottom"/>
    </xf>
    <xf borderId="0" fillId="0" fontId="2" numFmtId="10" xfId="0" applyAlignment="1" applyFont="1" applyNumberFormat="1">
      <alignment horizontal="right" vertical="bottom"/>
    </xf>
    <xf borderId="0" fillId="5" fontId="2" numFmtId="4" xfId="0" applyAlignment="1" applyFont="1" applyNumberFormat="1">
      <alignment horizontal="right" vertical="bottom"/>
    </xf>
    <xf borderId="0" fillId="5" fontId="2" numFmtId="165" xfId="0" applyAlignment="1" applyFont="1" applyNumberFormat="1">
      <alignment horizontal="right" vertical="bottom"/>
    </xf>
    <xf borderId="0" fillId="5" fontId="2" numFmtId="166" xfId="0" applyAlignment="1" applyFont="1" applyNumberFormat="1">
      <alignment horizontal="right" vertical="bottom"/>
    </xf>
    <xf borderId="0" fillId="5" fontId="2" numFmtId="9" xfId="0" applyAlignment="1" applyFont="1" applyNumberFormat="1">
      <alignment horizontal="right" vertical="bottom"/>
    </xf>
    <xf borderId="2" fillId="4" fontId="4" numFmtId="0" xfId="0" applyAlignment="1" applyBorder="1" applyFont="1">
      <alignment horizontal="right" vertical="bottom"/>
    </xf>
    <xf borderId="2" fillId="4" fontId="4" numFmtId="3" xfId="0" applyAlignment="1" applyBorder="1" applyFont="1" applyNumberFormat="1">
      <alignment horizontal="right" vertical="bottom"/>
    </xf>
    <xf borderId="0" fillId="6" fontId="2" numFmtId="4" xfId="0" applyAlignment="1" applyFill="1" applyFont="1" applyNumberFormat="1">
      <alignment horizontal="right" vertical="bottom"/>
    </xf>
    <xf borderId="0" fillId="6" fontId="2" numFmtId="165" xfId="0" applyAlignment="1" applyFont="1" applyNumberFormat="1">
      <alignment horizontal="right" vertical="bottom"/>
    </xf>
    <xf borderId="0" fillId="6" fontId="2" numFmtId="166" xfId="0" applyAlignment="1" applyFont="1" applyNumberFormat="1">
      <alignment horizontal="right" vertical="bottom"/>
    </xf>
    <xf borderId="0" fillId="6" fontId="2" numFmtId="9" xfId="0" applyAlignment="1" applyFont="1" applyNumberFormat="1">
      <alignment horizontal="right" vertical="bottom"/>
    </xf>
    <xf borderId="0" fillId="2" fontId="2" numFmtId="4" xfId="0" applyAlignment="1" applyFont="1" applyNumberFormat="1">
      <alignment horizontal="right" vertical="bottom"/>
    </xf>
    <xf borderId="0" fillId="2" fontId="2" numFmtId="165" xfId="0" applyAlignment="1" applyFont="1" applyNumberFormat="1">
      <alignment horizontal="right" vertical="bottom"/>
    </xf>
    <xf borderId="0" fillId="2" fontId="2" numFmtId="166" xfId="0" applyAlignment="1" applyFont="1" applyNumberFormat="1">
      <alignment horizontal="right" vertical="bottom"/>
    </xf>
    <xf borderId="0" fillId="2" fontId="2" numFmtId="9" xfId="0" applyAlignment="1" applyFont="1" applyNumberFormat="1">
      <alignment horizontal="right" vertical="bottom"/>
    </xf>
    <xf borderId="3" fillId="7" fontId="4" numFmtId="0" xfId="0" applyAlignment="1" applyBorder="1" applyFill="1" applyFont="1">
      <alignment vertical="bottom"/>
    </xf>
    <xf borderId="3" fillId="7" fontId="4" numFmtId="3" xfId="0" applyAlignment="1" applyBorder="1" applyFont="1" applyNumberFormat="1">
      <alignment horizontal="right" vertical="bottom"/>
    </xf>
    <xf borderId="0" fillId="0" fontId="2" numFmtId="4" xfId="0" applyAlignment="1" applyFont="1" applyNumberFormat="1">
      <alignment vertical="bottom"/>
    </xf>
    <xf borderId="0" fillId="0" fontId="2" numFmtId="4" xfId="0" applyAlignment="1" applyFont="1" applyNumberFormat="1">
      <alignment horizontal="right" vertical="bottom"/>
    </xf>
    <xf borderId="0" fillId="0" fontId="2" numFmtId="165" xfId="0" applyAlignment="1" applyFont="1" applyNumberFormat="1">
      <alignment horizontal="right" vertical="bottom"/>
    </xf>
    <xf borderId="0" fillId="0" fontId="2" numFmtId="166" xfId="0" applyAlignment="1" applyFont="1" applyNumberFormat="1">
      <alignment horizontal="right" vertical="bottom"/>
    </xf>
    <xf borderId="1" fillId="0" fontId="4" numFmtId="0" xfId="0" applyAlignment="1" applyBorder="1" applyFont="1">
      <alignment vertical="bottom"/>
    </xf>
    <xf borderId="1" fillId="0" fontId="2" numFmtId="0" xfId="0" applyAlignment="1" applyBorder="1" applyFont="1">
      <alignment vertical="bottom"/>
    </xf>
    <xf borderId="0" fillId="0" fontId="4" numFmtId="0" xfId="0" applyAlignment="1" applyFont="1">
      <alignment vertical="bottom"/>
    </xf>
    <xf borderId="0" fillId="0" fontId="5" numFmtId="0" xfId="0" applyAlignment="1" applyFont="1">
      <alignment vertical="bottom"/>
    </xf>
    <xf borderId="0" fillId="8" fontId="6" numFmtId="0" xfId="0" applyAlignment="1" applyFill="1" applyFont="1">
      <alignment shrinkToFit="0" wrapText="1"/>
    </xf>
    <xf borderId="0" fillId="0" fontId="2" numFmtId="0" xfId="0" applyFont="1"/>
    <xf borderId="0" fillId="8" fontId="7" numFmtId="0" xfId="0" applyAlignment="1" applyFont="1">
      <alignment horizontal="center" shrinkToFit="0" wrapText="1"/>
    </xf>
    <xf borderId="0" fillId="8" fontId="8" numFmtId="0" xfId="0" applyAlignment="1" applyFont="1">
      <alignment shrinkToFit="0" wrapText="1"/>
    </xf>
    <xf borderId="4" fillId="0" fontId="2" numFmtId="0" xfId="0" applyBorder="1" applyFont="1"/>
    <xf borderId="5" fillId="9" fontId="7" numFmtId="0" xfId="0" applyAlignment="1" applyBorder="1" applyFill="1" applyFont="1">
      <alignment horizontal="center" shrinkToFit="0" wrapText="1"/>
    </xf>
    <xf borderId="6" fillId="0" fontId="2" numFmtId="0" xfId="0" applyBorder="1" applyFont="1"/>
    <xf borderId="0" fillId="3" fontId="6" numFmtId="0" xfId="0" applyAlignment="1" applyFont="1">
      <alignment shrinkToFit="0" wrapText="1"/>
    </xf>
    <xf borderId="7" fillId="0" fontId="2" numFmtId="0" xfId="0" applyBorder="1" applyFont="1"/>
    <xf borderId="0" fillId="0" fontId="2" numFmtId="0" xfId="0" applyAlignment="1" applyFont="1">
      <alignment readingOrder="0"/>
    </xf>
    <xf borderId="1" fillId="4" fontId="4" numFmtId="0" xfId="0" applyAlignment="1" applyBorder="1" applyFont="1">
      <alignment horizontal="right" shrinkToFit="0" vertical="bottom" wrapText="1"/>
    </xf>
    <xf borderId="0" fillId="0" fontId="9" numFmtId="0" xfId="0" applyAlignment="1" applyFont="1">
      <alignment readingOrder="0"/>
    </xf>
    <xf borderId="0" fillId="0" fontId="9" numFmtId="0" xfId="0" applyFont="1"/>
    <xf borderId="3" fillId="4" fontId="4" numFmtId="0" xfId="0" applyAlignment="1" applyBorder="1" applyFont="1">
      <alignment horizontal="right" vertical="bottom"/>
    </xf>
    <xf borderId="3" fillId="4" fontId="4" numFmtId="3" xfId="0" applyAlignment="1" applyBorder="1" applyFont="1" applyNumberFormat="1">
      <alignment horizontal="right" vertical="bottom"/>
    </xf>
    <xf borderId="0" fillId="9" fontId="10" numFmtId="0" xfId="0" applyAlignment="1" applyFont="1">
      <alignment vertical="bottom"/>
    </xf>
    <xf borderId="0" fillId="8" fontId="11" numFmtId="0" xfId="0" applyAlignment="1" applyFont="1">
      <alignment shrinkToFit="0" vertical="bottom" wrapText="1"/>
    </xf>
    <xf borderId="8" fillId="9" fontId="7" numFmtId="0" xfId="0" applyAlignment="1" applyBorder="1" applyFont="1">
      <alignment horizontal="center" shrinkToFit="0" wrapText="1"/>
    </xf>
    <xf borderId="9" fillId="0" fontId="2" numFmtId="0" xfId="0" applyAlignment="1" applyBorder="1" applyFont="1">
      <alignment vertical="bottom"/>
    </xf>
    <xf borderId="0" fillId="8" fontId="12" numFmtId="0" xfId="0" applyAlignment="1" applyFont="1">
      <alignment shrinkToFit="0" vertical="bottom" wrapText="1"/>
    </xf>
    <xf borderId="0" fillId="0" fontId="13" numFmtId="0" xfId="0" applyAlignment="1" applyFont="1">
      <alignment horizontal="center" vertical="bottom"/>
    </xf>
    <xf borderId="1" fillId="4" fontId="4" numFmtId="4" xfId="0" applyAlignment="1" applyBorder="1" applyFont="1" applyNumberFormat="1">
      <alignment horizontal="right" shrinkToFit="0" vertical="bottom" wrapText="1"/>
    </xf>
    <xf borderId="1" fillId="4" fontId="4" numFmtId="4" xfId="0" applyAlignment="1" applyBorder="1" applyFont="1" applyNumberFormat="1">
      <alignment horizontal="right" vertical="bottom"/>
    </xf>
    <xf borderId="1" fillId="4" fontId="2" numFmtId="0" xfId="0" applyAlignment="1" applyBorder="1" applyFont="1">
      <alignment vertical="bottom"/>
    </xf>
    <xf borderId="1" fillId="4" fontId="2" numFmtId="3" xfId="0" applyAlignment="1" applyBorder="1" applyFont="1" applyNumberFormat="1">
      <alignment vertical="bottom"/>
    </xf>
    <xf borderId="3" fillId="4" fontId="4" numFmtId="4" xfId="0" applyAlignment="1" applyBorder="1" applyFont="1" applyNumberFormat="1">
      <alignment horizontal="right" vertical="bottom"/>
    </xf>
    <xf borderId="0" fillId="9" fontId="10" numFmtId="0" xfId="0" applyAlignment="1" applyFont="1">
      <alignment shrinkToFit="0" vertical="bottom" wrapText="1"/>
    </xf>
    <xf borderId="0" fillId="8" fontId="2" numFmtId="0" xfId="0" applyAlignment="1" applyFont="1">
      <alignment vertical="bottom"/>
    </xf>
    <xf borderId="0" fillId="0" fontId="2" numFmtId="0" xfId="0" applyAlignment="1" applyFont="1">
      <alignment horizontal="left" readingOrder="0" vertical="bottom"/>
    </xf>
    <xf borderId="0" fillId="0" fontId="2" numFmtId="0" xfId="0" applyAlignment="1" applyFont="1">
      <alignment readingOrder="0" vertical="bottom"/>
    </xf>
    <xf borderId="5" fillId="9" fontId="7"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Percentages/Profit vs Decile</a:t>
            </a:r>
          </a:p>
        </c:rich>
      </c:tx>
      <c:overlay val="0"/>
    </c:title>
    <c:plotArea>
      <c:layout/>
      <c:barChart>
        <c:barDir val="col"/>
        <c:ser>
          <c:idx val="0"/>
          <c:order val="0"/>
          <c:tx>
            <c:strRef>
              <c:f>deciles!$I$1:$I$2</c:f>
            </c:strRef>
          </c:tx>
          <c:spPr>
            <a:solidFill>
              <a:schemeClr val="accent1"/>
            </a:solidFill>
            <a:ln cmpd="sng">
              <a:solidFill>
                <a:srgbClr val="000000"/>
              </a:solidFill>
            </a:ln>
          </c:spPr>
          <c:cat>
            <c:strRef>
              <c:f>deciles!$A$3:$A$12</c:f>
            </c:strRef>
          </c:cat>
          <c:val>
            <c:numRef>
              <c:f>deciles!$I$3:$I$12</c:f>
              <c:numCache/>
            </c:numRef>
          </c:val>
        </c:ser>
        <c:axId val="1735378053"/>
        <c:axId val="1785940517"/>
      </c:barChart>
      <c:catAx>
        <c:axId val="17353780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1785940517"/>
      </c:catAx>
      <c:valAx>
        <c:axId val="17859405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Percentages/Profit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537805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 Total Transactions, Revenue and Profit</a:t>
            </a:r>
          </a:p>
        </c:rich>
      </c:tx>
      <c:overlay val="0"/>
    </c:title>
    <c:plotArea>
      <c:layout/>
      <c:barChart>
        <c:barDir val="col"/>
        <c:ser>
          <c:idx val="0"/>
          <c:order val="0"/>
          <c:tx>
            <c:strRef>
              <c:f>deciles!$B$1:$B$2</c:f>
            </c:strRef>
          </c:tx>
          <c:spPr>
            <a:solidFill>
              <a:schemeClr val="accent1"/>
            </a:solidFill>
            <a:ln cmpd="sng">
              <a:solidFill>
                <a:srgbClr val="000000"/>
              </a:solidFill>
            </a:ln>
          </c:spPr>
          <c:cat>
            <c:strRef>
              <c:f>deciles!$A$3:$A$12</c:f>
            </c:strRef>
          </c:cat>
          <c:val>
            <c:numRef>
              <c:f>deciles!$B$3:$B$12</c:f>
              <c:numCache/>
            </c:numRef>
          </c:val>
        </c:ser>
        <c:ser>
          <c:idx val="1"/>
          <c:order val="1"/>
          <c:tx>
            <c:strRef>
              <c:f>deciles!$C$1:$C$2</c:f>
            </c:strRef>
          </c:tx>
          <c:spPr>
            <a:solidFill>
              <a:schemeClr val="accent2"/>
            </a:solidFill>
            <a:ln cmpd="sng">
              <a:solidFill>
                <a:srgbClr val="000000"/>
              </a:solidFill>
            </a:ln>
          </c:spPr>
          <c:cat>
            <c:strRef>
              <c:f>deciles!$A$3:$A$12</c:f>
            </c:strRef>
          </c:cat>
          <c:val>
            <c:numRef>
              <c:f>deciles!$C$3:$C$12</c:f>
              <c:numCache/>
            </c:numRef>
          </c:val>
        </c:ser>
        <c:ser>
          <c:idx val="2"/>
          <c:order val="2"/>
          <c:tx>
            <c:strRef>
              <c:f>deciles!$D$1:$D$2</c:f>
            </c:strRef>
          </c:tx>
          <c:spPr>
            <a:solidFill>
              <a:schemeClr val="accent3"/>
            </a:solidFill>
            <a:ln cmpd="sng">
              <a:solidFill>
                <a:srgbClr val="000000"/>
              </a:solidFill>
            </a:ln>
          </c:spPr>
          <c:cat>
            <c:strRef>
              <c:f>deciles!$A$3:$A$12</c:f>
            </c:strRef>
          </c:cat>
          <c:val>
            <c:numRef>
              <c:f>deciles!$D$3:$D$12</c:f>
              <c:numCache/>
            </c:numRef>
          </c:val>
        </c:ser>
        <c:ser>
          <c:idx val="3"/>
          <c:order val="3"/>
          <c:tx>
            <c:strRef>
              <c:f>deciles!$E$1:$E$2</c:f>
            </c:strRef>
          </c:tx>
          <c:spPr>
            <a:solidFill>
              <a:schemeClr val="accent4"/>
            </a:solidFill>
            <a:ln cmpd="sng">
              <a:solidFill>
                <a:srgbClr val="000000"/>
              </a:solidFill>
            </a:ln>
          </c:spPr>
          <c:cat>
            <c:strRef>
              <c:f>deciles!$A$3:$A$12</c:f>
            </c:strRef>
          </c:cat>
          <c:val>
            <c:numRef>
              <c:f>deciles!$E$3:$E$12</c:f>
              <c:numCache/>
            </c:numRef>
          </c:val>
        </c:ser>
        <c:axId val="244017856"/>
        <c:axId val="879248595"/>
      </c:barChart>
      <c:catAx>
        <c:axId val="2440178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879248595"/>
      </c:catAx>
      <c:valAx>
        <c:axId val="8792485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4401785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deciles!$J$2</c:f>
            </c:strRef>
          </c:tx>
          <c:spPr>
            <a:solidFill>
              <a:schemeClr val="accent1"/>
            </a:solidFill>
            <a:ln cmpd="sng">
              <a:solidFill>
                <a:srgbClr val="000000"/>
              </a:solidFill>
            </a:ln>
          </c:spPr>
          <c:val>
            <c:numRef>
              <c:f>deciles!$J$3:$J$12</c:f>
              <c:numCache/>
            </c:numRef>
          </c:val>
        </c:ser>
        <c:ser>
          <c:idx val="1"/>
          <c:order val="1"/>
          <c:tx>
            <c:strRef>
              <c:f>deciles!$K$2</c:f>
            </c:strRef>
          </c:tx>
          <c:spPr>
            <a:solidFill>
              <a:schemeClr val="accent2"/>
            </a:solidFill>
            <a:ln cmpd="sng">
              <a:solidFill>
                <a:srgbClr val="000000"/>
              </a:solidFill>
            </a:ln>
          </c:spPr>
          <c:val>
            <c:numRef>
              <c:f>deciles!$K$3:$K$12</c:f>
              <c:numCache/>
            </c:numRef>
          </c:val>
        </c:ser>
        <c:ser>
          <c:idx val="2"/>
          <c:order val="2"/>
          <c:tx>
            <c:strRef>
              <c:f>deciles!$L$2</c:f>
            </c:strRef>
          </c:tx>
          <c:spPr>
            <a:solidFill>
              <a:schemeClr val="accent3"/>
            </a:solidFill>
            <a:ln cmpd="sng">
              <a:solidFill>
                <a:srgbClr val="000000"/>
              </a:solidFill>
            </a:ln>
          </c:spPr>
          <c:val>
            <c:numRef>
              <c:f>deciles!$L$3:$L$12</c:f>
              <c:numCache/>
            </c:numRef>
          </c:val>
        </c:ser>
        <c:ser>
          <c:idx val="3"/>
          <c:order val="3"/>
          <c:tx>
            <c:strRef>
              <c:f>deciles!$M$2</c:f>
            </c:strRef>
          </c:tx>
          <c:spPr>
            <a:solidFill>
              <a:schemeClr val="accent4"/>
            </a:solidFill>
            <a:ln cmpd="sng">
              <a:solidFill>
                <a:srgbClr val="000000"/>
              </a:solidFill>
            </a:ln>
          </c:spPr>
          <c:val>
            <c:numRef>
              <c:f>deciles!$M$3:$M$12</c:f>
              <c:numCache/>
            </c:numRef>
          </c:val>
        </c:ser>
        <c:ser>
          <c:idx val="4"/>
          <c:order val="4"/>
          <c:tx>
            <c:strRef>
              <c:f>deciles!$N$2</c:f>
            </c:strRef>
          </c:tx>
          <c:spPr>
            <a:solidFill>
              <a:schemeClr val="accent5"/>
            </a:solidFill>
            <a:ln cmpd="sng">
              <a:solidFill>
                <a:srgbClr val="000000"/>
              </a:solidFill>
            </a:ln>
          </c:spPr>
          <c:val>
            <c:numRef>
              <c:f>deciles!$N$3:$N$12</c:f>
              <c:numCache/>
            </c:numRef>
          </c:val>
        </c:ser>
        <c:axId val="825511106"/>
        <c:axId val="1872902201"/>
      </c:barChart>
      <c:catAx>
        <c:axId val="8255111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72902201"/>
      </c:catAx>
      <c:valAx>
        <c:axId val="18729022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2551110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 Total Transactions, Revenue and Profit</a:t>
            </a:r>
          </a:p>
        </c:rich>
      </c:tx>
      <c:overlay val="0"/>
    </c:title>
    <c:plotArea>
      <c:layout/>
      <c:lineChart>
        <c:ser>
          <c:idx val="0"/>
          <c:order val="0"/>
          <c:spPr>
            <a:ln cmpd="sng">
              <a:solidFill>
                <a:srgbClr val="4285F4"/>
              </a:solidFill>
            </a:ln>
          </c:spPr>
          <c:marker>
            <c:symbol val="none"/>
          </c:marker>
          <c:cat>
            <c:strRef>
              <c:f>'cohort analysis'!$A$2:$A$17</c:f>
            </c:strRef>
          </c:cat>
          <c:val>
            <c:numRef>
              <c:f>'cohort analysis'!$B$2:$B$17</c:f>
              <c:numCache/>
            </c:numRef>
          </c:val>
          <c:smooth val="0"/>
        </c:ser>
        <c:ser>
          <c:idx val="1"/>
          <c:order val="1"/>
          <c:spPr>
            <a:ln cmpd="sng">
              <a:solidFill>
                <a:srgbClr val="EA4335"/>
              </a:solidFill>
            </a:ln>
          </c:spPr>
          <c:marker>
            <c:symbol val="none"/>
          </c:marker>
          <c:cat>
            <c:strRef>
              <c:f>'cohort analysis'!$A$2:$A$17</c:f>
            </c:strRef>
          </c:cat>
          <c:val>
            <c:numRef>
              <c:f>'cohort analysis'!$C$2:$C$17</c:f>
              <c:numCache/>
            </c:numRef>
          </c:val>
          <c:smooth val="0"/>
        </c:ser>
        <c:ser>
          <c:idx val="2"/>
          <c:order val="2"/>
          <c:spPr>
            <a:ln cmpd="sng">
              <a:solidFill>
                <a:srgbClr val="FBBC04"/>
              </a:solidFill>
            </a:ln>
          </c:spPr>
          <c:marker>
            <c:symbol val="none"/>
          </c:marker>
          <c:cat>
            <c:strRef>
              <c:f>'cohort analysis'!$A$2:$A$17</c:f>
            </c:strRef>
          </c:cat>
          <c:val>
            <c:numRef>
              <c:f>'cohort analysis'!$D$2:$D$17</c:f>
              <c:numCache/>
            </c:numRef>
          </c:val>
          <c:smooth val="0"/>
        </c:ser>
        <c:ser>
          <c:idx val="3"/>
          <c:order val="3"/>
          <c:spPr>
            <a:ln cmpd="sng">
              <a:solidFill>
                <a:srgbClr val="34A853"/>
              </a:solidFill>
            </a:ln>
          </c:spPr>
          <c:marker>
            <c:symbol val="none"/>
          </c:marker>
          <c:cat>
            <c:strRef>
              <c:f>'cohort analysis'!$A$2:$A$17</c:f>
            </c:strRef>
          </c:cat>
          <c:val>
            <c:numRef>
              <c:f>'cohort analysis'!$E$2:$E$17</c:f>
              <c:numCache/>
            </c:numRef>
          </c:val>
          <c:smooth val="0"/>
        </c:ser>
        <c:axId val="852237653"/>
        <c:axId val="666693394"/>
      </c:lineChart>
      <c:catAx>
        <c:axId val="8522376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666693394"/>
      </c:catAx>
      <c:valAx>
        <c:axId val="6666933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52237653"/>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revenue/#customers</a:t>
            </a:r>
          </a:p>
        </c:rich>
      </c:tx>
      <c:overlay val="0"/>
    </c:title>
    <c:plotArea>
      <c:layout/>
      <c:barChart>
        <c:barDir val="col"/>
        <c:ser>
          <c:idx val="0"/>
          <c:order val="0"/>
          <c:tx>
            <c:strRef>
              <c:f>'cohort analysis'!$F$1</c:f>
            </c:strRef>
          </c:tx>
          <c:spPr>
            <a:solidFill>
              <a:schemeClr val="accent1"/>
            </a:solidFill>
            <a:ln cmpd="sng">
              <a:solidFill>
                <a:srgbClr val="000000"/>
              </a:solidFill>
            </a:ln>
          </c:spPr>
          <c:val>
            <c:numRef>
              <c:f>'cohort analysis'!$F$2:$F$17</c:f>
              <c:numCache/>
            </c:numRef>
          </c:val>
        </c:ser>
        <c:axId val="1948451568"/>
        <c:axId val="218660703"/>
      </c:barChart>
      <c:catAx>
        <c:axId val="19484515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8660703"/>
      </c:catAx>
      <c:valAx>
        <c:axId val="2186607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revenue/#customers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8451568"/>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 Total Transactions, Revenue and Profit</a:t>
            </a:r>
          </a:p>
        </c:rich>
      </c:tx>
      <c:overlay val="0"/>
    </c:title>
    <c:plotArea>
      <c:layout/>
      <c:barChart>
        <c:barDir val="col"/>
        <c:ser>
          <c:idx val="0"/>
          <c:order val="0"/>
          <c:tx>
            <c:strRef>
              <c:f>'3c.analysis'!$A$3</c:f>
            </c:strRef>
          </c:tx>
          <c:spPr>
            <a:solidFill>
              <a:schemeClr val="accent1"/>
            </a:solidFill>
            <a:ln cmpd="sng">
              <a:solidFill>
                <a:srgbClr val="000000"/>
              </a:solidFill>
            </a:ln>
          </c:spPr>
          <c:cat>
            <c:strRef>
              <c:f>'3c.analysis'!$B$2:$E$2</c:f>
            </c:strRef>
          </c:cat>
          <c:val>
            <c:numRef>
              <c:f>'3c.analysis'!$B$3:$E$3</c:f>
              <c:numCache/>
            </c:numRef>
          </c:val>
        </c:ser>
        <c:ser>
          <c:idx val="1"/>
          <c:order val="1"/>
          <c:tx>
            <c:strRef>
              <c:f>'3c.analysis'!$A$4</c:f>
            </c:strRef>
          </c:tx>
          <c:spPr>
            <a:solidFill>
              <a:schemeClr val="accent2"/>
            </a:solidFill>
            <a:ln cmpd="sng">
              <a:solidFill>
                <a:srgbClr val="000000"/>
              </a:solidFill>
            </a:ln>
          </c:spPr>
          <c:cat>
            <c:strRef>
              <c:f>'3c.analysis'!$B$2:$E$2</c:f>
            </c:strRef>
          </c:cat>
          <c:val>
            <c:numRef>
              <c:f>'3c.analysis'!$B$4:$E$4</c:f>
              <c:numCache/>
            </c:numRef>
          </c:val>
        </c:ser>
        <c:ser>
          <c:idx val="2"/>
          <c:order val="2"/>
          <c:tx>
            <c:strRef>
              <c:f>'3c.analysis'!$A$5</c:f>
            </c:strRef>
          </c:tx>
          <c:spPr>
            <a:solidFill>
              <a:schemeClr val="accent3"/>
            </a:solidFill>
            <a:ln cmpd="sng">
              <a:solidFill>
                <a:srgbClr val="000000"/>
              </a:solidFill>
            </a:ln>
          </c:spPr>
          <c:cat>
            <c:strRef>
              <c:f>'3c.analysis'!$B$2:$E$2</c:f>
            </c:strRef>
          </c:cat>
          <c:val>
            <c:numRef>
              <c:f>'3c.analysis'!$B$5:$E$5</c:f>
              <c:numCache/>
            </c:numRef>
          </c:val>
        </c:ser>
        <c:ser>
          <c:idx val="3"/>
          <c:order val="3"/>
          <c:tx>
            <c:strRef>
              <c:f>'3c.analysis'!$A$6</c:f>
            </c:strRef>
          </c:tx>
          <c:spPr>
            <a:solidFill>
              <a:schemeClr val="accent4"/>
            </a:solidFill>
            <a:ln cmpd="sng">
              <a:solidFill>
                <a:srgbClr val="000000"/>
              </a:solidFill>
            </a:ln>
          </c:spPr>
          <c:cat>
            <c:strRef>
              <c:f>'3c.analysis'!$B$2:$E$2</c:f>
            </c:strRef>
          </c:cat>
          <c:val>
            <c:numRef>
              <c:f>'3c.analysis'!$B$6:$E$6</c:f>
              <c:numCache/>
            </c:numRef>
          </c:val>
        </c:ser>
        <c:axId val="104669135"/>
        <c:axId val="1743481203"/>
      </c:barChart>
      <c:catAx>
        <c:axId val="1046691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743481203"/>
      </c:catAx>
      <c:valAx>
        <c:axId val="17434812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669135"/>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 Total Transactions, Revenue and Profit</a:t>
            </a:r>
          </a:p>
        </c:rich>
      </c:tx>
      <c:overlay val="0"/>
    </c:title>
    <c:plotArea>
      <c:layout/>
      <c:lineChart>
        <c:ser>
          <c:idx val="0"/>
          <c:order val="0"/>
          <c:tx>
            <c:strRef>
              <c:f>'3c.analysis'!$A$3</c:f>
            </c:strRef>
          </c:tx>
          <c:spPr>
            <a:ln cmpd="sng">
              <a:solidFill>
                <a:srgbClr val="4285F4"/>
              </a:solidFill>
            </a:ln>
          </c:spPr>
          <c:marker>
            <c:symbol val="none"/>
          </c:marker>
          <c:cat>
            <c:strRef>
              <c:f>'3c.analysis'!$B$2:$E$2</c:f>
            </c:strRef>
          </c:cat>
          <c:val>
            <c:numRef>
              <c:f>'3c.analysis'!$B$3:$E$3</c:f>
              <c:numCache/>
            </c:numRef>
          </c:val>
          <c:smooth val="0"/>
        </c:ser>
        <c:ser>
          <c:idx val="1"/>
          <c:order val="1"/>
          <c:tx>
            <c:strRef>
              <c:f>'3c.analysis'!$A$4</c:f>
            </c:strRef>
          </c:tx>
          <c:spPr>
            <a:ln cmpd="sng">
              <a:solidFill>
                <a:srgbClr val="EA4335"/>
              </a:solidFill>
            </a:ln>
          </c:spPr>
          <c:marker>
            <c:symbol val="none"/>
          </c:marker>
          <c:cat>
            <c:strRef>
              <c:f>'3c.analysis'!$B$2:$E$2</c:f>
            </c:strRef>
          </c:cat>
          <c:val>
            <c:numRef>
              <c:f>'3c.analysis'!$B$4:$E$4</c:f>
              <c:numCache/>
            </c:numRef>
          </c:val>
          <c:smooth val="0"/>
        </c:ser>
        <c:ser>
          <c:idx val="2"/>
          <c:order val="2"/>
          <c:tx>
            <c:strRef>
              <c:f>'3c.analysis'!$A$5</c:f>
            </c:strRef>
          </c:tx>
          <c:spPr>
            <a:ln cmpd="sng">
              <a:solidFill>
                <a:srgbClr val="FBBC04"/>
              </a:solidFill>
            </a:ln>
          </c:spPr>
          <c:marker>
            <c:symbol val="none"/>
          </c:marker>
          <c:cat>
            <c:strRef>
              <c:f>'3c.analysis'!$B$2:$E$2</c:f>
            </c:strRef>
          </c:cat>
          <c:val>
            <c:numRef>
              <c:f>'3c.analysis'!$B$5:$E$5</c:f>
              <c:numCache/>
            </c:numRef>
          </c:val>
          <c:smooth val="0"/>
        </c:ser>
        <c:ser>
          <c:idx val="3"/>
          <c:order val="3"/>
          <c:tx>
            <c:strRef>
              <c:f>'3c.analysis'!$A$6</c:f>
            </c:strRef>
          </c:tx>
          <c:spPr>
            <a:ln cmpd="sng">
              <a:solidFill>
                <a:srgbClr val="34A853"/>
              </a:solidFill>
            </a:ln>
          </c:spPr>
          <c:marker>
            <c:symbol val="none"/>
          </c:marker>
          <c:cat>
            <c:strRef>
              <c:f>'3c.analysis'!$B$2:$E$2</c:f>
            </c:strRef>
          </c:cat>
          <c:val>
            <c:numRef>
              <c:f>'3c.analysis'!$B$6:$E$6</c:f>
              <c:numCache/>
            </c:numRef>
          </c:val>
          <c:smooth val="0"/>
        </c:ser>
        <c:ser>
          <c:idx val="4"/>
          <c:order val="4"/>
          <c:tx>
            <c:strRef>
              <c:f>'3c.analysis'!$A$7</c:f>
            </c:strRef>
          </c:tx>
          <c:spPr>
            <a:ln cmpd="sng">
              <a:solidFill>
                <a:srgbClr val="FF6D01"/>
              </a:solidFill>
            </a:ln>
          </c:spPr>
          <c:marker>
            <c:symbol val="none"/>
          </c:marker>
          <c:cat>
            <c:strRef>
              <c:f>'3c.analysis'!$B$2:$E$2</c:f>
            </c:strRef>
          </c:cat>
          <c:val>
            <c:numRef>
              <c:f>'3c.analysis'!$B$7:$E$7</c:f>
              <c:numCache/>
            </c:numRef>
          </c:val>
          <c:smooth val="0"/>
        </c:ser>
        <c:ser>
          <c:idx val="5"/>
          <c:order val="5"/>
          <c:tx>
            <c:strRef>
              <c:f>'3c.analysis'!$A$8</c:f>
            </c:strRef>
          </c:tx>
          <c:spPr>
            <a:ln cmpd="sng">
              <a:solidFill>
                <a:srgbClr val="46BDC6"/>
              </a:solidFill>
            </a:ln>
          </c:spPr>
          <c:marker>
            <c:symbol val="none"/>
          </c:marker>
          <c:cat>
            <c:strRef>
              <c:f>'3c.analysis'!$B$2:$E$2</c:f>
            </c:strRef>
          </c:cat>
          <c:val>
            <c:numRef>
              <c:f>'3c.analysis'!$B$8:$E$8</c:f>
              <c:numCache/>
            </c:numRef>
          </c:val>
          <c:smooth val="0"/>
        </c:ser>
        <c:ser>
          <c:idx val="6"/>
          <c:order val="6"/>
          <c:tx>
            <c:strRef>
              <c:f>'3c.analysis'!$A$9</c:f>
            </c:strRef>
          </c:tx>
          <c:spPr>
            <a:ln cmpd="sng">
              <a:solidFill>
                <a:srgbClr val="7BAAF7"/>
              </a:solidFill>
            </a:ln>
          </c:spPr>
          <c:marker>
            <c:symbol val="none"/>
          </c:marker>
          <c:cat>
            <c:strRef>
              <c:f>'3c.analysis'!$B$2:$E$2</c:f>
            </c:strRef>
          </c:cat>
          <c:val>
            <c:numRef>
              <c:f>'3c.analysis'!$B$9:$E$9</c:f>
              <c:numCache/>
            </c:numRef>
          </c:val>
          <c:smooth val="0"/>
        </c:ser>
        <c:ser>
          <c:idx val="7"/>
          <c:order val="7"/>
          <c:tx>
            <c:strRef>
              <c:f>'3c.analysis'!$A$10</c:f>
            </c:strRef>
          </c:tx>
          <c:spPr>
            <a:ln cmpd="sng">
              <a:solidFill>
                <a:srgbClr val="F07B72"/>
              </a:solidFill>
            </a:ln>
          </c:spPr>
          <c:marker>
            <c:symbol val="none"/>
          </c:marker>
          <c:cat>
            <c:strRef>
              <c:f>'3c.analysis'!$B$2:$E$2</c:f>
            </c:strRef>
          </c:cat>
          <c:val>
            <c:numRef>
              <c:f>'3c.analysis'!$B$10:$E$10</c:f>
              <c:numCache/>
            </c:numRef>
          </c:val>
          <c:smooth val="0"/>
        </c:ser>
        <c:ser>
          <c:idx val="8"/>
          <c:order val="8"/>
          <c:tx>
            <c:strRef>
              <c:f>'3c.analysis'!$A$11</c:f>
            </c:strRef>
          </c:tx>
          <c:spPr>
            <a:ln cmpd="sng">
              <a:solidFill>
                <a:srgbClr val="FCD04F"/>
              </a:solidFill>
            </a:ln>
          </c:spPr>
          <c:marker>
            <c:symbol val="none"/>
          </c:marker>
          <c:cat>
            <c:strRef>
              <c:f>'3c.analysis'!$B$2:$E$2</c:f>
            </c:strRef>
          </c:cat>
          <c:val>
            <c:numRef>
              <c:f>'3c.analysis'!$B$11:$E$11</c:f>
              <c:numCache/>
            </c:numRef>
          </c:val>
          <c:smooth val="0"/>
        </c:ser>
        <c:ser>
          <c:idx val="9"/>
          <c:order val="9"/>
          <c:tx>
            <c:strRef>
              <c:f>'3c.analysis'!$A$12</c:f>
            </c:strRef>
          </c:tx>
          <c:spPr>
            <a:ln cmpd="sng">
              <a:solidFill>
                <a:srgbClr val="71C287"/>
              </a:solidFill>
            </a:ln>
          </c:spPr>
          <c:marker>
            <c:symbol val="none"/>
          </c:marker>
          <c:cat>
            <c:strRef>
              <c:f>'3c.analysis'!$B$2:$E$2</c:f>
            </c:strRef>
          </c:cat>
          <c:val>
            <c:numRef>
              <c:f>'3c.analysis'!$B$12:$E$12</c:f>
              <c:numCache/>
            </c:numRef>
          </c:val>
          <c:smooth val="0"/>
        </c:ser>
        <c:ser>
          <c:idx val="10"/>
          <c:order val="10"/>
          <c:tx>
            <c:strRef>
              <c:f>'3c.analysis'!$A$13</c:f>
            </c:strRef>
          </c:tx>
          <c:spPr>
            <a:ln cmpd="sng">
              <a:solidFill>
                <a:srgbClr val="FF994D"/>
              </a:solidFill>
            </a:ln>
          </c:spPr>
          <c:marker>
            <c:symbol val="none"/>
          </c:marker>
          <c:cat>
            <c:strRef>
              <c:f>'3c.analysis'!$B$2:$E$2</c:f>
            </c:strRef>
          </c:cat>
          <c:val>
            <c:numRef>
              <c:f>'3c.analysis'!$B$13:$E$13</c:f>
              <c:numCache/>
            </c:numRef>
          </c:val>
          <c:smooth val="0"/>
        </c:ser>
        <c:ser>
          <c:idx val="11"/>
          <c:order val="11"/>
          <c:tx>
            <c:strRef>
              <c:f>'3c.analysis'!$A$14</c:f>
            </c:strRef>
          </c:tx>
          <c:spPr>
            <a:ln cmpd="sng">
              <a:solidFill>
                <a:srgbClr val="7ED1D7"/>
              </a:solidFill>
            </a:ln>
          </c:spPr>
          <c:marker>
            <c:symbol val="none"/>
          </c:marker>
          <c:cat>
            <c:strRef>
              <c:f>'3c.analysis'!$B$2:$E$2</c:f>
            </c:strRef>
          </c:cat>
          <c:val>
            <c:numRef>
              <c:f>'3c.analysis'!$B$14:$E$14</c:f>
              <c:numCache/>
            </c:numRef>
          </c:val>
          <c:smooth val="0"/>
        </c:ser>
        <c:ser>
          <c:idx val="12"/>
          <c:order val="12"/>
          <c:tx>
            <c:strRef>
              <c:f>'3c.analysis'!$A$15</c:f>
            </c:strRef>
          </c:tx>
          <c:spPr>
            <a:ln cmpd="sng">
              <a:solidFill>
                <a:srgbClr val="B3CEFB"/>
              </a:solidFill>
            </a:ln>
          </c:spPr>
          <c:marker>
            <c:symbol val="none"/>
          </c:marker>
          <c:cat>
            <c:strRef>
              <c:f>'3c.analysis'!$B$2:$E$2</c:f>
            </c:strRef>
          </c:cat>
          <c:val>
            <c:numRef>
              <c:f>'3c.analysis'!$B$15:$E$15</c:f>
              <c:numCache/>
            </c:numRef>
          </c:val>
          <c:smooth val="0"/>
        </c:ser>
        <c:ser>
          <c:idx val="13"/>
          <c:order val="13"/>
          <c:tx>
            <c:strRef>
              <c:f>'3c.analysis'!$A$16</c:f>
            </c:strRef>
          </c:tx>
          <c:spPr>
            <a:ln cmpd="sng">
              <a:solidFill>
                <a:srgbClr val="F7B4AE"/>
              </a:solidFill>
            </a:ln>
          </c:spPr>
          <c:marker>
            <c:symbol val="none"/>
          </c:marker>
          <c:cat>
            <c:strRef>
              <c:f>'3c.analysis'!$B$2:$E$2</c:f>
            </c:strRef>
          </c:cat>
          <c:val>
            <c:numRef>
              <c:f>'3c.analysis'!$B$16:$E$16</c:f>
              <c:numCache/>
            </c:numRef>
          </c:val>
          <c:smooth val="0"/>
        </c:ser>
        <c:axId val="722737225"/>
        <c:axId val="1012973619"/>
      </c:lineChart>
      <c:catAx>
        <c:axId val="7227372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012973619"/>
      </c:catAx>
      <c:valAx>
        <c:axId val="10129736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22737225"/>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 Total Transactions, Revenue and Profit</a:t>
            </a:r>
          </a:p>
        </c:rich>
      </c:tx>
      <c:overlay val="0"/>
    </c:title>
    <c:plotArea>
      <c:layout/>
      <c:barChart>
        <c:barDir val="col"/>
        <c:ser>
          <c:idx val="0"/>
          <c:order val="0"/>
          <c:tx>
            <c:strRef>
              <c:f>'3c.analysis'!$G$3</c:f>
            </c:strRef>
          </c:tx>
          <c:spPr>
            <a:solidFill>
              <a:schemeClr val="accent1"/>
            </a:solidFill>
            <a:ln cmpd="sng">
              <a:solidFill>
                <a:srgbClr val="000000"/>
              </a:solidFill>
            </a:ln>
          </c:spPr>
          <c:cat>
            <c:strRef>
              <c:f>'3c.analysis'!$H$2:$K$2</c:f>
            </c:strRef>
          </c:cat>
          <c:val>
            <c:numRef>
              <c:f>'3c.analysis'!$H$3:$K$3</c:f>
              <c:numCache/>
            </c:numRef>
          </c:val>
        </c:ser>
        <c:ser>
          <c:idx val="1"/>
          <c:order val="1"/>
          <c:tx>
            <c:strRef>
              <c:f>'3c.analysis'!$G$4</c:f>
            </c:strRef>
          </c:tx>
          <c:spPr>
            <a:solidFill>
              <a:schemeClr val="accent2"/>
            </a:solidFill>
            <a:ln cmpd="sng">
              <a:solidFill>
                <a:srgbClr val="000000"/>
              </a:solidFill>
            </a:ln>
          </c:spPr>
          <c:cat>
            <c:strRef>
              <c:f>'3c.analysis'!$H$2:$K$2</c:f>
            </c:strRef>
          </c:cat>
          <c:val>
            <c:numRef>
              <c:f>'3c.analysis'!$H$4:$K$4</c:f>
              <c:numCache/>
            </c:numRef>
          </c:val>
        </c:ser>
        <c:ser>
          <c:idx val="2"/>
          <c:order val="2"/>
          <c:tx>
            <c:strRef>
              <c:f>'3c.analysis'!$G$5</c:f>
            </c:strRef>
          </c:tx>
          <c:spPr>
            <a:solidFill>
              <a:schemeClr val="accent3"/>
            </a:solidFill>
            <a:ln cmpd="sng">
              <a:solidFill>
                <a:srgbClr val="000000"/>
              </a:solidFill>
            </a:ln>
          </c:spPr>
          <c:cat>
            <c:strRef>
              <c:f>'3c.analysis'!$H$2:$K$2</c:f>
            </c:strRef>
          </c:cat>
          <c:val>
            <c:numRef>
              <c:f>'3c.analysis'!$H$5:$K$5</c:f>
              <c:numCache/>
            </c:numRef>
          </c:val>
        </c:ser>
        <c:ser>
          <c:idx val="3"/>
          <c:order val="3"/>
          <c:tx>
            <c:strRef>
              <c:f>'3c.analysis'!$G$6</c:f>
            </c:strRef>
          </c:tx>
          <c:spPr>
            <a:solidFill>
              <a:schemeClr val="accent4"/>
            </a:solidFill>
            <a:ln cmpd="sng">
              <a:solidFill>
                <a:srgbClr val="000000"/>
              </a:solidFill>
            </a:ln>
          </c:spPr>
          <c:cat>
            <c:strRef>
              <c:f>'3c.analysis'!$H$2:$K$2</c:f>
            </c:strRef>
          </c:cat>
          <c:val>
            <c:numRef>
              <c:f>'3c.analysis'!$H$6:$K$6</c:f>
              <c:numCache/>
            </c:numRef>
          </c:val>
        </c:ser>
        <c:ser>
          <c:idx val="4"/>
          <c:order val="4"/>
          <c:tx>
            <c:strRef>
              <c:f>'3c.analysis'!$G$7</c:f>
            </c:strRef>
          </c:tx>
          <c:spPr>
            <a:solidFill>
              <a:schemeClr val="accent5"/>
            </a:solidFill>
            <a:ln cmpd="sng">
              <a:solidFill>
                <a:srgbClr val="000000"/>
              </a:solidFill>
            </a:ln>
          </c:spPr>
          <c:cat>
            <c:strRef>
              <c:f>'3c.analysis'!$H$2:$K$2</c:f>
            </c:strRef>
          </c:cat>
          <c:val>
            <c:numRef>
              <c:f>'3c.analysis'!$H$7:$K$7</c:f>
              <c:numCache/>
            </c:numRef>
          </c:val>
        </c:ser>
        <c:ser>
          <c:idx val="5"/>
          <c:order val="5"/>
          <c:tx>
            <c:strRef>
              <c:f>'3c.analysis'!$G$8</c:f>
            </c:strRef>
          </c:tx>
          <c:spPr>
            <a:solidFill>
              <a:schemeClr val="accent6"/>
            </a:solidFill>
            <a:ln cmpd="sng">
              <a:solidFill>
                <a:srgbClr val="000000"/>
              </a:solidFill>
            </a:ln>
          </c:spPr>
          <c:cat>
            <c:strRef>
              <c:f>'3c.analysis'!$H$2:$K$2</c:f>
            </c:strRef>
          </c:cat>
          <c:val>
            <c:numRef>
              <c:f>'3c.analysis'!$H$8:$K$8</c:f>
              <c:numCache/>
            </c:numRef>
          </c:val>
        </c:ser>
        <c:ser>
          <c:idx val="6"/>
          <c:order val="6"/>
          <c:tx>
            <c:strRef>
              <c:f>'3c.analysis'!$G$9</c:f>
            </c:strRef>
          </c:tx>
          <c:spPr>
            <a:solidFill>
              <a:schemeClr val="accent1">
                <a:lumOff val="30000"/>
              </a:schemeClr>
            </a:solidFill>
            <a:ln cmpd="sng">
              <a:solidFill>
                <a:srgbClr val="000000"/>
              </a:solidFill>
            </a:ln>
          </c:spPr>
          <c:cat>
            <c:strRef>
              <c:f>'3c.analysis'!$H$2:$K$2</c:f>
            </c:strRef>
          </c:cat>
          <c:val>
            <c:numRef>
              <c:f>'3c.analysis'!$H$9:$K$9</c:f>
              <c:numCache/>
            </c:numRef>
          </c:val>
        </c:ser>
        <c:ser>
          <c:idx val="7"/>
          <c:order val="7"/>
          <c:tx>
            <c:strRef>
              <c:f>'3c.analysis'!$G$10</c:f>
            </c:strRef>
          </c:tx>
          <c:spPr>
            <a:solidFill>
              <a:schemeClr val="accent2">
                <a:lumOff val="30000"/>
              </a:schemeClr>
            </a:solidFill>
            <a:ln cmpd="sng">
              <a:solidFill>
                <a:srgbClr val="000000"/>
              </a:solidFill>
            </a:ln>
          </c:spPr>
          <c:cat>
            <c:strRef>
              <c:f>'3c.analysis'!$H$2:$K$2</c:f>
            </c:strRef>
          </c:cat>
          <c:val>
            <c:numRef>
              <c:f>'3c.analysis'!$H$10:$K$10</c:f>
              <c:numCache/>
            </c:numRef>
          </c:val>
        </c:ser>
        <c:ser>
          <c:idx val="8"/>
          <c:order val="8"/>
          <c:tx>
            <c:strRef>
              <c:f>'3c.analysis'!$G$11</c:f>
            </c:strRef>
          </c:tx>
          <c:spPr>
            <a:solidFill>
              <a:schemeClr val="accent3">
                <a:lumOff val="30000"/>
              </a:schemeClr>
            </a:solidFill>
            <a:ln cmpd="sng">
              <a:solidFill>
                <a:srgbClr val="000000"/>
              </a:solidFill>
            </a:ln>
          </c:spPr>
          <c:cat>
            <c:strRef>
              <c:f>'3c.analysis'!$H$2:$K$2</c:f>
            </c:strRef>
          </c:cat>
          <c:val>
            <c:numRef>
              <c:f>'3c.analysis'!$H$11:$K$11</c:f>
              <c:numCache/>
            </c:numRef>
          </c:val>
        </c:ser>
        <c:ser>
          <c:idx val="9"/>
          <c:order val="9"/>
          <c:tx>
            <c:strRef>
              <c:f>'3c.analysis'!$G$12</c:f>
            </c:strRef>
          </c:tx>
          <c:spPr>
            <a:solidFill>
              <a:schemeClr val="accent4">
                <a:lumOff val="30000"/>
              </a:schemeClr>
            </a:solidFill>
            <a:ln cmpd="sng">
              <a:solidFill>
                <a:srgbClr val="000000"/>
              </a:solidFill>
            </a:ln>
          </c:spPr>
          <c:cat>
            <c:strRef>
              <c:f>'3c.analysis'!$H$2:$K$2</c:f>
            </c:strRef>
          </c:cat>
          <c:val>
            <c:numRef>
              <c:f>'3c.analysis'!$H$12:$K$12</c:f>
              <c:numCache/>
            </c:numRef>
          </c:val>
        </c:ser>
        <c:ser>
          <c:idx val="10"/>
          <c:order val="10"/>
          <c:tx>
            <c:strRef>
              <c:f>'3c.analysis'!$G$13</c:f>
            </c:strRef>
          </c:tx>
          <c:spPr>
            <a:solidFill>
              <a:schemeClr val="accent5">
                <a:lumOff val="30000"/>
              </a:schemeClr>
            </a:solidFill>
            <a:ln cmpd="sng">
              <a:solidFill>
                <a:srgbClr val="000000"/>
              </a:solidFill>
            </a:ln>
          </c:spPr>
          <c:cat>
            <c:strRef>
              <c:f>'3c.analysis'!$H$2:$K$2</c:f>
            </c:strRef>
          </c:cat>
          <c:val>
            <c:numRef>
              <c:f>'3c.analysis'!$H$13:$K$13</c:f>
              <c:numCache/>
            </c:numRef>
          </c:val>
        </c:ser>
        <c:ser>
          <c:idx val="11"/>
          <c:order val="11"/>
          <c:tx>
            <c:strRef>
              <c:f>'3c.analysis'!$G$14</c:f>
            </c:strRef>
          </c:tx>
          <c:spPr>
            <a:solidFill>
              <a:schemeClr val="accent6">
                <a:lumOff val="30000"/>
              </a:schemeClr>
            </a:solidFill>
            <a:ln cmpd="sng">
              <a:solidFill>
                <a:srgbClr val="000000"/>
              </a:solidFill>
            </a:ln>
          </c:spPr>
          <c:cat>
            <c:strRef>
              <c:f>'3c.analysis'!$H$2:$K$2</c:f>
            </c:strRef>
          </c:cat>
          <c:val>
            <c:numRef>
              <c:f>'3c.analysis'!$H$14:$K$14</c:f>
              <c:numCache/>
            </c:numRef>
          </c:val>
        </c:ser>
        <c:ser>
          <c:idx val="12"/>
          <c:order val="12"/>
          <c:tx>
            <c:strRef>
              <c:f>'3c.analysis'!$G$15</c:f>
            </c:strRef>
          </c:tx>
          <c:spPr>
            <a:solidFill>
              <a:schemeClr val="accent1">
                <a:lumOff val="60000"/>
              </a:schemeClr>
            </a:solidFill>
            <a:ln cmpd="sng">
              <a:solidFill>
                <a:srgbClr val="000000"/>
              </a:solidFill>
            </a:ln>
          </c:spPr>
          <c:cat>
            <c:strRef>
              <c:f>'3c.analysis'!$H$2:$K$2</c:f>
            </c:strRef>
          </c:cat>
          <c:val>
            <c:numRef>
              <c:f>'3c.analysis'!$H$15:$K$15</c:f>
              <c:numCache/>
            </c:numRef>
          </c:val>
        </c:ser>
        <c:ser>
          <c:idx val="13"/>
          <c:order val="13"/>
          <c:tx>
            <c:strRef>
              <c:f>'3c.analysis'!$G$16</c:f>
            </c:strRef>
          </c:tx>
          <c:spPr>
            <a:solidFill>
              <a:schemeClr val="accent2">
                <a:lumOff val="60000"/>
              </a:schemeClr>
            </a:solidFill>
            <a:ln cmpd="sng">
              <a:solidFill>
                <a:srgbClr val="000000"/>
              </a:solidFill>
            </a:ln>
          </c:spPr>
          <c:cat>
            <c:strRef>
              <c:f>'3c.analysis'!$H$2:$K$2</c:f>
            </c:strRef>
          </c:cat>
          <c:val>
            <c:numRef>
              <c:f>'3c.analysis'!$H$16:$K$16</c:f>
              <c:numCache/>
            </c:numRef>
          </c:val>
        </c:ser>
        <c:axId val="1643266798"/>
        <c:axId val="1447685171"/>
      </c:barChart>
      <c:catAx>
        <c:axId val="16432667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447685171"/>
      </c:catAx>
      <c:valAx>
        <c:axId val="14476851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3266798"/>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 Total Transactions, Revenue and Profit</a:t>
            </a:r>
          </a:p>
        </c:rich>
      </c:tx>
      <c:overlay val="0"/>
    </c:title>
    <c:plotArea>
      <c:layout/>
      <c:lineChart>
        <c:ser>
          <c:idx val="0"/>
          <c:order val="0"/>
          <c:tx>
            <c:strRef>
              <c:f>'3c.analysis'!$H$2</c:f>
            </c:strRef>
          </c:tx>
          <c:spPr>
            <a:ln cmpd="sng">
              <a:solidFill>
                <a:srgbClr val="4285F4"/>
              </a:solidFill>
            </a:ln>
          </c:spPr>
          <c:marker>
            <c:symbol val="none"/>
          </c:marker>
          <c:cat>
            <c:strRef>
              <c:f>'3c.analysis'!$G$3:$G$16</c:f>
            </c:strRef>
          </c:cat>
          <c:val>
            <c:numRef>
              <c:f>'3c.analysis'!$H$3:$H$16</c:f>
              <c:numCache/>
            </c:numRef>
          </c:val>
          <c:smooth val="0"/>
        </c:ser>
        <c:ser>
          <c:idx val="1"/>
          <c:order val="1"/>
          <c:tx>
            <c:strRef>
              <c:f>'3c.analysis'!$I$2</c:f>
            </c:strRef>
          </c:tx>
          <c:spPr>
            <a:ln cmpd="sng">
              <a:solidFill>
                <a:srgbClr val="EA4335"/>
              </a:solidFill>
            </a:ln>
          </c:spPr>
          <c:marker>
            <c:symbol val="none"/>
          </c:marker>
          <c:cat>
            <c:strRef>
              <c:f>'3c.analysis'!$G$3:$G$16</c:f>
            </c:strRef>
          </c:cat>
          <c:val>
            <c:numRef>
              <c:f>'3c.analysis'!$I$3:$I$16</c:f>
              <c:numCache/>
            </c:numRef>
          </c:val>
          <c:smooth val="0"/>
        </c:ser>
        <c:ser>
          <c:idx val="2"/>
          <c:order val="2"/>
          <c:tx>
            <c:strRef>
              <c:f>'3c.analysis'!$J$2</c:f>
            </c:strRef>
          </c:tx>
          <c:spPr>
            <a:ln cmpd="sng">
              <a:solidFill>
                <a:srgbClr val="FBBC04"/>
              </a:solidFill>
            </a:ln>
          </c:spPr>
          <c:marker>
            <c:symbol val="none"/>
          </c:marker>
          <c:cat>
            <c:strRef>
              <c:f>'3c.analysis'!$G$3:$G$16</c:f>
            </c:strRef>
          </c:cat>
          <c:val>
            <c:numRef>
              <c:f>'3c.analysis'!$J$3:$J$16</c:f>
              <c:numCache/>
            </c:numRef>
          </c:val>
          <c:smooth val="0"/>
        </c:ser>
        <c:ser>
          <c:idx val="3"/>
          <c:order val="3"/>
          <c:tx>
            <c:strRef>
              <c:f>'3c.analysis'!$K$2</c:f>
            </c:strRef>
          </c:tx>
          <c:spPr>
            <a:ln cmpd="sng">
              <a:solidFill>
                <a:srgbClr val="34A853"/>
              </a:solidFill>
            </a:ln>
          </c:spPr>
          <c:marker>
            <c:symbol val="none"/>
          </c:marker>
          <c:cat>
            <c:strRef>
              <c:f>'3c.analysis'!$G$3:$G$16</c:f>
            </c:strRef>
          </c:cat>
          <c:val>
            <c:numRef>
              <c:f>'3c.analysis'!$K$3:$K$16</c:f>
              <c:numCache/>
            </c:numRef>
          </c:val>
          <c:smooth val="0"/>
        </c:ser>
        <c:axId val="135187495"/>
        <c:axId val="1021693311"/>
      </c:lineChart>
      <c:catAx>
        <c:axId val="1351874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021693311"/>
      </c:catAx>
      <c:valAx>
        <c:axId val="10216933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187495"/>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 Total Transactions, Revenue and Profit</a:t>
            </a:r>
          </a:p>
        </c:rich>
      </c:tx>
      <c:overlay val="0"/>
    </c:title>
    <c:plotArea>
      <c:layout/>
      <c:barChart>
        <c:barDir val="col"/>
        <c:grouping val="stacked"/>
        <c:ser>
          <c:idx val="0"/>
          <c:order val="0"/>
          <c:tx>
            <c:strRef>
              <c:f>'3c.analysis'!$M$2:$N$2</c:f>
            </c:strRef>
          </c:tx>
          <c:spPr>
            <a:solidFill>
              <a:schemeClr val="accent1"/>
            </a:solidFill>
            <a:ln cmpd="sng">
              <a:solidFill>
                <a:srgbClr val="000000"/>
              </a:solidFill>
            </a:ln>
          </c:spPr>
          <c:cat>
            <c:strRef>
              <c:f>'3c.analysis'!$O$1:$Q$1</c:f>
            </c:strRef>
          </c:cat>
          <c:val>
            <c:numRef>
              <c:f>'3c.analysis'!$O$2:$Q$2</c:f>
              <c:numCache/>
            </c:numRef>
          </c:val>
        </c:ser>
        <c:ser>
          <c:idx val="1"/>
          <c:order val="1"/>
          <c:tx>
            <c:strRef>
              <c:f>'3c.analysis'!$M$3:$N$3</c:f>
            </c:strRef>
          </c:tx>
          <c:spPr>
            <a:solidFill>
              <a:schemeClr val="accent2"/>
            </a:solidFill>
            <a:ln cmpd="sng">
              <a:solidFill>
                <a:srgbClr val="000000"/>
              </a:solidFill>
            </a:ln>
          </c:spPr>
          <c:cat>
            <c:strRef>
              <c:f>'3c.analysis'!$O$1:$Q$1</c:f>
            </c:strRef>
          </c:cat>
          <c:val>
            <c:numRef>
              <c:f>'3c.analysis'!$O$3:$Q$3</c:f>
              <c:numCache/>
            </c:numRef>
          </c:val>
        </c:ser>
        <c:ser>
          <c:idx val="2"/>
          <c:order val="2"/>
          <c:tx>
            <c:strRef>
              <c:f>'3c.analysis'!$M$4:$N$4</c:f>
            </c:strRef>
          </c:tx>
          <c:spPr>
            <a:solidFill>
              <a:schemeClr val="accent3"/>
            </a:solidFill>
            <a:ln cmpd="sng">
              <a:solidFill>
                <a:srgbClr val="000000"/>
              </a:solidFill>
            </a:ln>
          </c:spPr>
          <c:cat>
            <c:strRef>
              <c:f>'3c.analysis'!$O$1:$Q$1</c:f>
            </c:strRef>
          </c:cat>
          <c:val>
            <c:numRef>
              <c:f>'3c.analysis'!$O$4:$Q$4</c:f>
              <c:numCache/>
            </c:numRef>
          </c:val>
        </c:ser>
        <c:ser>
          <c:idx val="3"/>
          <c:order val="3"/>
          <c:tx>
            <c:strRef>
              <c:f>'3c.analysis'!$M$5:$N$5</c:f>
            </c:strRef>
          </c:tx>
          <c:spPr>
            <a:solidFill>
              <a:schemeClr val="accent4"/>
            </a:solidFill>
            <a:ln cmpd="sng">
              <a:solidFill>
                <a:srgbClr val="000000"/>
              </a:solidFill>
            </a:ln>
          </c:spPr>
          <c:cat>
            <c:strRef>
              <c:f>'3c.analysis'!$O$1:$Q$1</c:f>
            </c:strRef>
          </c:cat>
          <c:val>
            <c:numRef>
              <c:f>'3c.analysis'!$O$5:$Q$5</c:f>
              <c:numCache/>
            </c:numRef>
          </c:val>
        </c:ser>
        <c:ser>
          <c:idx val="4"/>
          <c:order val="4"/>
          <c:tx>
            <c:strRef>
              <c:f>'3c.analysis'!$M$6:$N$6</c:f>
            </c:strRef>
          </c:tx>
          <c:spPr>
            <a:solidFill>
              <a:schemeClr val="accent5"/>
            </a:solidFill>
            <a:ln cmpd="sng">
              <a:solidFill>
                <a:srgbClr val="000000"/>
              </a:solidFill>
            </a:ln>
          </c:spPr>
          <c:cat>
            <c:strRef>
              <c:f>'3c.analysis'!$O$1:$Q$1</c:f>
            </c:strRef>
          </c:cat>
          <c:val>
            <c:numRef>
              <c:f>'3c.analysis'!$O$6:$Q$6</c:f>
              <c:numCache/>
            </c:numRef>
          </c:val>
        </c:ser>
        <c:ser>
          <c:idx val="5"/>
          <c:order val="5"/>
          <c:tx>
            <c:strRef>
              <c:f>'3c.analysis'!$M$7:$N$7</c:f>
            </c:strRef>
          </c:tx>
          <c:spPr>
            <a:solidFill>
              <a:schemeClr val="accent6"/>
            </a:solidFill>
            <a:ln cmpd="sng">
              <a:solidFill>
                <a:srgbClr val="000000"/>
              </a:solidFill>
            </a:ln>
          </c:spPr>
          <c:cat>
            <c:strRef>
              <c:f>'3c.analysis'!$O$1:$Q$1</c:f>
            </c:strRef>
          </c:cat>
          <c:val>
            <c:numRef>
              <c:f>'3c.analysis'!$O$7:$Q$7</c:f>
              <c:numCache/>
            </c:numRef>
          </c:val>
        </c:ser>
        <c:ser>
          <c:idx val="6"/>
          <c:order val="6"/>
          <c:tx>
            <c:strRef>
              <c:f>'3c.analysis'!$M$8:$N$8</c:f>
            </c:strRef>
          </c:tx>
          <c:spPr>
            <a:solidFill>
              <a:schemeClr val="accent1">
                <a:lumOff val="30000"/>
              </a:schemeClr>
            </a:solidFill>
            <a:ln cmpd="sng">
              <a:solidFill>
                <a:srgbClr val="000000"/>
              </a:solidFill>
            </a:ln>
          </c:spPr>
          <c:cat>
            <c:strRef>
              <c:f>'3c.analysis'!$O$1:$Q$1</c:f>
            </c:strRef>
          </c:cat>
          <c:val>
            <c:numRef>
              <c:f>'3c.analysis'!$O$8:$Q$8</c:f>
              <c:numCache/>
            </c:numRef>
          </c:val>
        </c:ser>
        <c:ser>
          <c:idx val="7"/>
          <c:order val="7"/>
          <c:tx>
            <c:strRef>
              <c:f>'3c.analysis'!$M$9:$N$9</c:f>
            </c:strRef>
          </c:tx>
          <c:spPr>
            <a:solidFill>
              <a:schemeClr val="accent2">
                <a:lumOff val="30000"/>
              </a:schemeClr>
            </a:solidFill>
            <a:ln cmpd="sng">
              <a:solidFill>
                <a:srgbClr val="000000"/>
              </a:solidFill>
            </a:ln>
          </c:spPr>
          <c:cat>
            <c:strRef>
              <c:f>'3c.analysis'!$O$1:$Q$1</c:f>
            </c:strRef>
          </c:cat>
          <c:val>
            <c:numRef>
              <c:f>'3c.analysis'!$O$9:$Q$9</c:f>
              <c:numCache/>
            </c:numRef>
          </c:val>
        </c:ser>
        <c:ser>
          <c:idx val="8"/>
          <c:order val="8"/>
          <c:tx>
            <c:strRef>
              <c:f>'3c.analysis'!$M$10:$N$10</c:f>
            </c:strRef>
          </c:tx>
          <c:spPr>
            <a:solidFill>
              <a:schemeClr val="accent3">
                <a:lumOff val="30000"/>
              </a:schemeClr>
            </a:solidFill>
            <a:ln cmpd="sng">
              <a:solidFill>
                <a:srgbClr val="000000"/>
              </a:solidFill>
            </a:ln>
          </c:spPr>
          <c:cat>
            <c:strRef>
              <c:f>'3c.analysis'!$O$1:$Q$1</c:f>
            </c:strRef>
          </c:cat>
          <c:val>
            <c:numRef>
              <c:f>'3c.analysis'!$O$10:$Q$10</c:f>
              <c:numCache/>
            </c:numRef>
          </c:val>
        </c:ser>
        <c:ser>
          <c:idx val="9"/>
          <c:order val="9"/>
          <c:tx>
            <c:strRef>
              <c:f>'3c.analysis'!$M$11:$N$11</c:f>
            </c:strRef>
          </c:tx>
          <c:spPr>
            <a:solidFill>
              <a:schemeClr val="accent4">
                <a:lumOff val="30000"/>
              </a:schemeClr>
            </a:solidFill>
            <a:ln cmpd="sng">
              <a:solidFill>
                <a:srgbClr val="000000"/>
              </a:solidFill>
            </a:ln>
          </c:spPr>
          <c:cat>
            <c:strRef>
              <c:f>'3c.analysis'!$O$1:$Q$1</c:f>
            </c:strRef>
          </c:cat>
          <c:val>
            <c:numRef>
              <c:f>'3c.analysis'!$O$11:$Q$11</c:f>
              <c:numCache/>
            </c:numRef>
          </c:val>
        </c:ser>
        <c:ser>
          <c:idx val="10"/>
          <c:order val="10"/>
          <c:tx>
            <c:strRef>
              <c:f>'3c.analysis'!$M$12:$N$12</c:f>
            </c:strRef>
          </c:tx>
          <c:spPr>
            <a:solidFill>
              <a:schemeClr val="accent5">
                <a:lumOff val="30000"/>
              </a:schemeClr>
            </a:solidFill>
            <a:ln cmpd="sng">
              <a:solidFill>
                <a:srgbClr val="000000"/>
              </a:solidFill>
            </a:ln>
          </c:spPr>
          <c:cat>
            <c:strRef>
              <c:f>'3c.analysis'!$O$1:$Q$1</c:f>
            </c:strRef>
          </c:cat>
          <c:val>
            <c:numRef>
              <c:f>'3c.analysis'!$O$12:$Q$12</c:f>
              <c:numCache/>
            </c:numRef>
          </c:val>
        </c:ser>
        <c:ser>
          <c:idx val="11"/>
          <c:order val="11"/>
          <c:tx>
            <c:strRef>
              <c:f>'3c.analysis'!$M$13:$N$13</c:f>
            </c:strRef>
          </c:tx>
          <c:spPr>
            <a:solidFill>
              <a:schemeClr val="accent6">
                <a:lumOff val="30000"/>
              </a:schemeClr>
            </a:solidFill>
            <a:ln cmpd="sng">
              <a:solidFill>
                <a:srgbClr val="000000"/>
              </a:solidFill>
            </a:ln>
          </c:spPr>
          <c:cat>
            <c:strRef>
              <c:f>'3c.analysis'!$O$1:$Q$1</c:f>
            </c:strRef>
          </c:cat>
          <c:val>
            <c:numRef>
              <c:f>'3c.analysis'!$O$13:$Q$13</c:f>
              <c:numCache/>
            </c:numRef>
          </c:val>
        </c:ser>
        <c:ser>
          <c:idx val="12"/>
          <c:order val="12"/>
          <c:tx>
            <c:strRef>
              <c:f>'3c.analysis'!$M$14:$N$14</c:f>
            </c:strRef>
          </c:tx>
          <c:spPr>
            <a:solidFill>
              <a:schemeClr val="accent1">
                <a:lumOff val="60000"/>
              </a:schemeClr>
            </a:solidFill>
            <a:ln cmpd="sng">
              <a:solidFill>
                <a:srgbClr val="000000"/>
              </a:solidFill>
            </a:ln>
          </c:spPr>
          <c:cat>
            <c:strRef>
              <c:f>'3c.analysis'!$O$1:$Q$1</c:f>
            </c:strRef>
          </c:cat>
          <c:val>
            <c:numRef>
              <c:f>'3c.analysis'!$O$14:$Q$14</c:f>
              <c:numCache/>
            </c:numRef>
          </c:val>
        </c:ser>
        <c:ser>
          <c:idx val="13"/>
          <c:order val="13"/>
          <c:tx>
            <c:strRef>
              <c:f>'3c.analysis'!$M$15:$N$15</c:f>
            </c:strRef>
          </c:tx>
          <c:spPr>
            <a:solidFill>
              <a:schemeClr val="accent2">
                <a:lumOff val="60000"/>
              </a:schemeClr>
            </a:solidFill>
            <a:ln cmpd="sng">
              <a:solidFill>
                <a:srgbClr val="000000"/>
              </a:solidFill>
            </a:ln>
          </c:spPr>
          <c:cat>
            <c:strRef>
              <c:f>'3c.analysis'!$O$1:$Q$1</c:f>
            </c:strRef>
          </c:cat>
          <c:val>
            <c:numRef>
              <c:f>'3c.analysis'!$O$15:$Q$15</c:f>
              <c:numCache/>
            </c:numRef>
          </c:val>
        </c:ser>
        <c:ser>
          <c:idx val="14"/>
          <c:order val="14"/>
          <c:tx>
            <c:strRef>
              <c:f>'3c.analysis'!$M$16:$N$16</c:f>
            </c:strRef>
          </c:tx>
          <c:cat>
            <c:strRef>
              <c:f>'3c.analysis'!$O$1:$Q$1</c:f>
            </c:strRef>
          </c:cat>
          <c:val>
            <c:numRef>
              <c:f>'3c.analysis'!$O$16:$Q$16</c:f>
              <c:numCache/>
            </c:numRef>
          </c:val>
        </c:ser>
        <c:overlap val="100"/>
        <c:axId val="159495896"/>
        <c:axId val="309022064"/>
      </c:barChart>
      <c:catAx>
        <c:axId val="1594958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309022064"/>
      </c:catAx>
      <c:valAx>
        <c:axId val="3090220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495896"/>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 Total Transactions, Revenue and Profit</a:t>
            </a:r>
          </a:p>
        </c:rich>
      </c:tx>
      <c:overlay val="0"/>
    </c:title>
    <c:plotArea>
      <c:layout/>
      <c:lineChart>
        <c:ser>
          <c:idx val="0"/>
          <c:order val="0"/>
          <c:tx>
            <c:strRef>
              <c:f>'3c.analysis'!$N$1:$N$2</c:f>
            </c:strRef>
          </c:tx>
          <c:spPr>
            <a:ln cmpd="sng">
              <a:solidFill>
                <a:srgbClr val="4285F4"/>
              </a:solidFill>
            </a:ln>
          </c:spPr>
          <c:marker>
            <c:symbol val="none"/>
          </c:marker>
          <c:cat>
            <c:strRef>
              <c:f>'3c.analysis'!$M$3:$M$16</c:f>
            </c:strRef>
          </c:cat>
          <c:val>
            <c:numRef>
              <c:f>'3c.analysis'!$N$3:$N$16</c:f>
              <c:numCache/>
            </c:numRef>
          </c:val>
          <c:smooth val="0"/>
        </c:ser>
        <c:ser>
          <c:idx val="1"/>
          <c:order val="1"/>
          <c:tx>
            <c:strRef>
              <c:f>'3c.analysis'!$O$1:$O$2</c:f>
            </c:strRef>
          </c:tx>
          <c:spPr>
            <a:ln cmpd="sng">
              <a:solidFill>
                <a:srgbClr val="EA4335"/>
              </a:solidFill>
            </a:ln>
          </c:spPr>
          <c:marker>
            <c:symbol val="none"/>
          </c:marker>
          <c:cat>
            <c:strRef>
              <c:f>'3c.analysis'!$M$3:$M$16</c:f>
            </c:strRef>
          </c:cat>
          <c:val>
            <c:numRef>
              <c:f>'3c.analysis'!$O$3:$O$16</c:f>
              <c:numCache/>
            </c:numRef>
          </c:val>
          <c:smooth val="0"/>
        </c:ser>
        <c:ser>
          <c:idx val="2"/>
          <c:order val="2"/>
          <c:tx>
            <c:strRef>
              <c:f>'3c.analysis'!$P$1:$P$2</c:f>
            </c:strRef>
          </c:tx>
          <c:spPr>
            <a:ln cmpd="sng">
              <a:solidFill>
                <a:srgbClr val="FBBC04"/>
              </a:solidFill>
            </a:ln>
          </c:spPr>
          <c:marker>
            <c:symbol val="none"/>
          </c:marker>
          <c:cat>
            <c:strRef>
              <c:f>'3c.analysis'!$M$3:$M$16</c:f>
            </c:strRef>
          </c:cat>
          <c:val>
            <c:numRef>
              <c:f>'3c.analysis'!$P$3:$P$16</c:f>
              <c:numCache/>
            </c:numRef>
          </c:val>
          <c:smooth val="0"/>
        </c:ser>
        <c:ser>
          <c:idx val="3"/>
          <c:order val="3"/>
          <c:tx>
            <c:strRef>
              <c:f>'3c.analysis'!$Q$1:$Q$2</c:f>
            </c:strRef>
          </c:tx>
          <c:spPr>
            <a:ln cmpd="sng">
              <a:solidFill>
                <a:srgbClr val="34A853"/>
              </a:solidFill>
            </a:ln>
          </c:spPr>
          <c:marker>
            <c:symbol val="none"/>
          </c:marker>
          <c:cat>
            <c:strRef>
              <c:f>'3c.analysis'!$M$3:$M$16</c:f>
            </c:strRef>
          </c:cat>
          <c:val>
            <c:numRef>
              <c:f>'3c.analysis'!$Q$3:$Q$16</c:f>
              <c:numCache/>
            </c:numRef>
          </c:val>
          <c:smooth val="0"/>
        </c:ser>
        <c:axId val="452633983"/>
        <c:axId val="1375470789"/>
      </c:lineChart>
      <c:catAx>
        <c:axId val="4526339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375470789"/>
      </c:catAx>
      <c:valAx>
        <c:axId val="13754707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2633983"/>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 Id="rId6"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15</xdr:row>
      <xdr:rowOff>95250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762000</xdr:colOff>
      <xdr:row>15</xdr:row>
      <xdr:rowOff>95250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238125</xdr:colOff>
      <xdr:row>34</xdr:row>
      <xdr:rowOff>104775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9525</xdr:colOff>
      <xdr:row>0</xdr:row>
      <xdr:rowOff>285750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9525</xdr:colOff>
      <xdr:row>18</xdr:row>
      <xdr:rowOff>114300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485775</xdr:colOff>
      <xdr:row>0</xdr:row>
      <xdr:rowOff>190500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47625</xdr:colOff>
      <xdr:row>18</xdr:row>
      <xdr:rowOff>133350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15</xdr:col>
      <xdr:colOff>685800</xdr:colOff>
      <xdr:row>19</xdr:row>
      <xdr:rowOff>9525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200025</xdr:colOff>
      <xdr:row>24</xdr:row>
      <xdr:rowOff>180975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16</xdr:col>
      <xdr:colOff>485775</xdr:colOff>
      <xdr:row>24</xdr:row>
      <xdr:rowOff>114300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581025</xdr:colOff>
      <xdr:row>29</xdr:row>
      <xdr:rowOff>219075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88"/>
  </cols>
  <sheetData>
    <row r="1">
      <c r="A1" s="1" t="s">
        <v>0</v>
      </c>
    </row>
    <row r="2">
      <c r="A2" s="2"/>
    </row>
    <row r="3">
      <c r="A3" s="1" t="s">
        <v>1</v>
      </c>
    </row>
    <row r="4">
      <c r="A4" s="1" t="s">
        <v>2</v>
      </c>
    </row>
    <row r="5">
      <c r="A5" s="1" t="s">
        <v>3</v>
      </c>
    </row>
    <row r="6">
      <c r="A6" s="1" t="s">
        <v>4</v>
      </c>
    </row>
    <row r="7">
      <c r="A7" s="1" t="s">
        <v>5</v>
      </c>
    </row>
    <row r="8">
      <c r="A8" s="1" t="s">
        <v>6</v>
      </c>
    </row>
    <row r="9">
      <c r="A9" s="3" t="s">
        <v>7</v>
      </c>
    </row>
    <row r="10">
      <c r="A10" s="4" t="s">
        <v>8</v>
      </c>
    </row>
    <row r="11">
      <c r="A11" s="5" t="s">
        <v>9</v>
      </c>
    </row>
    <row r="12">
      <c r="A12" s="5" t="s">
        <v>10</v>
      </c>
    </row>
    <row r="13">
      <c r="A13" s="5" t="s">
        <v>11</v>
      </c>
    </row>
    <row r="14">
      <c r="A14" s="6" t="s">
        <v>12</v>
      </c>
    </row>
    <row r="15">
      <c r="A15" s="7" t="s">
        <v>13</v>
      </c>
    </row>
    <row r="16">
      <c r="A16" s="7" t="s">
        <v>14</v>
      </c>
    </row>
    <row r="17">
      <c r="A17" s="7" t="s">
        <v>15</v>
      </c>
    </row>
    <row r="18">
      <c r="A18" s="7" t="s">
        <v>16</v>
      </c>
    </row>
    <row r="19">
      <c r="A19" s="7" t="s">
        <v>17</v>
      </c>
    </row>
    <row r="20">
      <c r="A20" s="7" t="s">
        <v>18</v>
      </c>
    </row>
    <row r="21">
      <c r="A21" s="6" t="s">
        <v>19</v>
      </c>
    </row>
    <row r="22">
      <c r="A22" s="1" t="s">
        <v>20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c r="B1" s="2"/>
      <c r="C1" s="2"/>
      <c r="D1" s="2"/>
      <c r="E1" s="2"/>
      <c r="F1" s="8" t="s">
        <v>21</v>
      </c>
      <c r="G1" s="9"/>
      <c r="H1" s="9"/>
      <c r="I1" s="2"/>
      <c r="J1" s="2"/>
      <c r="K1" s="2"/>
      <c r="L1" s="2"/>
      <c r="M1" s="2"/>
      <c r="N1" s="2"/>
      <c r="O1" s="2"/>
      <c r="P1" s="2"/>
      <c r="Q1" s="2"/>
    </row>
    <row r="2">
      <c r="A2" s="10" t="s">
        <v>22</v>
      </c>
      <c r="B2" s="10" t="s">
        <v>23</v>
      </c>
      <c r="C2" s="10" t="s">
        <v>24</v>
      </c>
      <c r="D2" s="10" t="s">
        <v>25</v>
      </c>
      <c r="E2" s="10" t="s">
        <v>26</v>
      </c>
      <c r="F2" s="11" t="s">
        <v>23</v>
      </c>
      <c r="G2" s="10" t="s">
        <v>24</v>
      </c>
      <c r="H2" s="10" t="s">
        <v>25</v>
      </c>
      <c r="I2" s="10" t="s">
        <v>26</v>
      </c>
      <c r="J2" s="12" t="s">
        <v>27</v>
      </c>
      <c r="K2" s="12" t="s">
        <v>28</v>
      </c>
      <c r="L2" s="12" t="s">
        <v>29</v>
      </c>
      <c r="M2" s="12" t="s">
        <v>30</v>
      </c>
      <c r="N2" s="12" t="s">
        <v>31</v>
      </c>
      <c r="O2" s="2"/>
      <c r="P2" s="13" t="s">
        <v>32</v>
      </c>
      <c r="Q2" s="2"/>
    </row>
    <row r="3">
      <c r="A3" s="14">
        <v>1.0</v>
      </c>
      <c r="B3" s="15">
        <v>3180.0</v>
      </c>
      <c r="C3" s="15">
        <v>17503.0</v>
      </c>
      <c r="D3" s="15">
        <v>1.28952505E8</v>
      </c>
      <c r="E3" s="15">
        <v>6.2160175E7</v>
      </c>
      <c r="F3" s="16">
        <f t="shared" ref="F3:I3" si="1">B3/B$13</f>
        <v>0.1000094349</v>
      </c>
      <c r="G3" s="17">
        <f t="shared" si="1"/>
        <v>0.2857166177</v>
      </c>
      <c r="H3" s="17">
        <f t="shared" si="1"/>
        <v>0.3960449742</v>
      </c>
      <c r="I3" s="17">
        <f t="shared" si="1"/>
        <v>0.3984214517</v>
      </c>
      <c r="J3" s="18">
        <f t="shared" ref="J3:J12" si="3">D3/B3</f>
        <v>40551.1022</v>
      </c>
      <c r="K3" s="18">
        <f>E3/B3</f>
        <v>19547.22484</v>
      </c>
      <c r="L3" s="19">
        <f t="shared" ref="L3:L4" si="4">C3/B3</f>
        <v>5.50408805</v>
      </c>
      <c r="M3" s="20">
        <v>7367.45157972919</v>
      </c>
      <c r="N3" s="21">
        <v>0.48203929811212276</v>
      </c>
      <c r="O3" s="2"/>
      <c r="P3" s="2" t="s">
        <v>33</v>
      </c>
      <c r="Q3" s="2"/>
    </row>
    <row r="4">
      <c r="A4" s="22">
        <v>2.0</v>
      </c>
      <c r="B4" s="23">
        <v>3180.0</v>
      </c>
      <c r="C4" s="23">
        <v>8703.0</v>
      </c>
      <c r="D4" s="23">
        <v>5.5542905E7</v>
      </c>
      <c r="E4" s="23">
        <v>2.707903E7</v>
      </c>
      <c r="F4" s="16">
        <f t="shared" ref="F4:I4" si="2">B4/B$13</f>
        <v>0.1000094349</v>
      </c>
      <c r="G4" s="17">
        <f t="shared" si="2"/>
        <v>0.1420666014</v>
      </c>
      <c r="H4" s="17">
        <f t="shared" si="2"/>
        <v>0.1705859718</v>
      </c>
      <c r="I4" s="17">
        <f t="shared" si="2"/>
        <v>0.1735655738</v>
      </c>
      <c r="J4" s="18">
        <f t="shared" si="3"/>
        <v>17466.32233</v>
      </c>
      <c r="K4" s="18">
        <v>8515.41823899371</v>
      </c>
      <c r="L4" s="19">
        <f t="shared" si="4"/>
        <v>2.736792453</v>
      </c>
      <c r="M4" s="20">
        <v>6382.0412501436285</v>
      </c>
      <c r="N4" s="21">
        <v>0.48753355626609735</v>
      </c>
      <c r="O4" s="2"/>
      <c r="P4" s="2"/>
      <c r="Q4" s="2"/>
    </row>
    <row r="5">
      <c r="A5" s="14">
        <v>3.0</v>
      </c>
      <c r="B5" s="15">
        <v>3177.0</v>
      </c>
      <c r="C5" s="15">
        <v>6345.0</v>
      </c>
      <c r="D5" s="15">
        <v>3.8274225E7</v>
      </c>
      <c r="E5" s="15">
        <v>1.8722055E7</v>
      </c>
      <c r="F5" s="16">
        <f t="shared" ref="F5:I5" si="5">B5/B$13</f>
        <v>0.09991508633</v>
      </c>
      <c r="G5" s="17">
        <f t="shared" si="5"/>
        <v>0.1035749265</v>
      </c>
      <c r="H5" s="17">
        <f t="shared" si="5"/>
        <v>0.1175495928</v>
      </c>
      <c r="I5" s="17">
        <f t="shared" si="5"/>
        <v>0.1200007615</v>
      </c>
      <c r="J5" s="18">
        <f t="shared" si="3"/>
        <v>12047.28517</v>
      </c>
      <c r="K5" s="18">
        <v>5892.9981114258735</v>
      </c>
      <c r="L5" s="19">
        <v>1.9971671388101984</v>
      </c>
      <c r="M5" s="20">
        <v>6032.1867612293145</v>
      </c>
      <c r="N5" s="21">
        <v>0.4891556915914039</v>
      </c>
      <c r="O5" s="2"/>
      <c r="P5" s="2"/>
      <c r="Q5" s="2"/>
    </row>
    <row r="6">
      <c r="A6" s="14">
        <v>4.0</v>
      </c>
      <c r="B6" s="15">
        <v>3178.0</v>
      </c>
      <c r="C6" s="15">
        <v>5349.0</v>
      </c>
      <c r="D6" s="15">
        <v>2.901701E7</v>
      </c>
      <c r="E6" s="15">
        <v>1.3916595E7</v>
      </c>
      <c r="F6" s="16">
        <f t="shared" ref="F6:I6" si="6">B6/B$13</f>
        <v>0.09994653584</v>
      </c>
      <c r="G6" s="17">
        <f t="shared" si="6"/>
        <v>0.08731635651</v>
      </c>
      <c r="H6" s="17">
        <f t="shared" si="6"/>
        <v>0.08911840044</v>
      </c>
      <c r="I6" s="17">
        <f t="shared" si="6"/>
        <v>0.08919971643</v>
      </c>
      <c r="J6" s="18">
        <f t="shared" si="3"/>
        <v>9130.58842</v>
      </c>
      <c r="K6" s="18">
        <v>4379.041850220265</v>
      </c>
      <c r="L6" s="19">
        <v>1.6831340465701699</v>
      </c>
      <c r="M6" s="20">
        <v>5424.75415965601</v>
      </c>
      <c r="N6" s="21">
        <v>0.47960127525199875</v>
      </c>
      <c r="O6" s="2"/>
      <c r="P6" s="2"/>
      <c r="Q6" s="2"/>
    </row>
    <row r="7">
      <c r="A7" s="14">
        <v>5.0</v>
      </c>
      <c r="B7" s="15">
        <v>3183.0</v>
      </c>
      <c r="C7" s="15">
        <v>4683.0</v>
      </c>
      <c r="D7" s="15">
        <v>2.2555225E7</v>
      </c>
      <c r="E7" s="15">
        <v>1.0734405E7</v>
      </c>
      <c r="F7" s="16">
        <f t="shared" ref="F7:I7" si="7">B7/B$13</f>
        <v>0.1001037834</v>
      </c>
      <c r="G7" s="17">
        <f t="shared" si="7"/>
        <v>0.0764446621</v>
      </c>
      <c r="H7" s="17">
        <f t="shared" si="7"/>
        <v>0.06927266364</v>
      </c>
      <c r="I7" s="17">
        <f t="shared" si="7"/>
        <v>0.06880317218</v>
      </c>
      <c r="J7" s="18">
        <f t="shared" si="3"/>
        <v>7086.153</v>
      </c>
      <c r="K7" s="18">
        <v>3372.4175306314796</v>
      </c>
      <c r="L7" s="19">
        <v>1.471253534401508</v>
      </c>
      <c r="M7" s="20">
        <v>4816.405082212257</v>
      </c>
      <c r="N7" s="21">
        <v>0.4759165559199698</v>
      </c>
      <c r="O7" s="2"/>
      <c r="P7" s="2"/>
      <c r="Q7" s="2"/>
    </row>
    <row r="8">
      <c r="A8" s="14">
        <v>6.0</v>
      </c>
      <c r="B8" s="15">
        <v>3124.0</v>
      </c>
      <c r="C8" s="15">
        <v>4330.0</v>
      </c>
      <c r="D8" s="15">
        <v>1.7169955E7</v>
      </c>
      <c r="E8" s="15">
        <v>7948270.0</v>
      </c>
      <c r="F8" s="16">
        <f t="shared" ref="F8:I8" si="8">B8/B$13</f>
        <v>0.09824826241</v>
      </c>
      <c r="G8" s="17">
        <f t="shared" si="8"/>
        <v>0.07068233758</v>
      </c>
      <c r="H8" s="17">
        <f t="shared" si="8"/>
        <v>0.05273317014</v>
      </c>
      <c r="I8" s="17">
        <f t="shared" si="8"/>
        <v>0.05094517948</v>
      </c>
      <c r="J8" s="24">
        <f t="shared" si="3"/>
        <v>5496.144366</v>
      </c>
      <c r="K8" s="24">
        <v>2544.260563380282</v>
      </c>
      <c r="L8" s="25">
        <v>1.3860435339308579</v>
      </c>
      <c r="M8" s="26">
        <v>3965.347575057737</v>
      </c>
      <c r="N8" s="27">
        <v>0.46291734602682416</v>
      </c>
      <c r="O8" s="2"/>
      <c r="P8" s="2"/>
      <c r="Q8" s="2"/>
    </row>
    <row r="9">
      <c r="A9" s="14">
        <v>7.0</v>
      </c>
      <c r="B9" s="15">
        <v>3233.0</v>
      </c>
      <c r="C9" s="15">
        <v>4004.0</v>
      </c>
      <c r="D9" s="15">
        <v>1.347071E7</v>
      </c>
      <c r="E9" s="15">
        <v>6240025.0</v>
      </c>
      <c r="F9" s="16">
        <f t="shared" ref="F9:I9" si="9">B9/B$13</f>
        <v>0.1016762588</v>
      </c>
      <c r="G9" s="17">
        <f t="shared" si="9"/>
        <v>0.06536075743</v>
      </c>
      <c r="H9" s="17">
        <f t="shared" si="9"/>
        <v>0.0413718756</v>
      </c>
      <c r="I9" s="17">
        <f t="shared" si="9"/>
        <v>0.03999602349</v>
      </c>
      <c r="J9" s="24">
        <f t="shared" si="3"/>
        <v>4166.628518</v>
      </c>
      <c r="K9" s="24">
        <v>1930.1036189297865</v>
      </c>
      <c r="L9" s="25">
        <v>1.238478193628209</v>
      </c>
      <c r="M9" s="26">
        <v>3364.313186813187</v>
      </c>
      <c r="N9" s="27">
        <v>0.4632291096757335</v>
      </c>
      <c r="O9" s="2"/>
      <c r="P9" s="2"/>
      <c r="Q9" s="2"/>
    </row>
    <row r="10">
      <c r="A10" s="14">
        <v>8.0</v>
      </c>
      <c r="B10" s="15">
        <v>2996.0</v>
      </c>
      <c r="C10" s="15">
        <v>3414.0</v>
      </c>
      <c r="D10" s="15">
        <v>9381075.0</v>
      </c>
      <c r="E10" s="15">
        <v>4326685.0</v>
      </c>
      <c r="F10" s="16">
        <f t="shared" ref="F10:I10" si="10">B10/B$13</f>
        <v>0.09422272541</v>
      </c>
      <c r="G10" s="17">
        <f t="shared" si="10"/>
        <v>0.05572967679</v>
      </c>
      <c r="H10" s="17">
        <f t="shared" si="10"/>
        <v>0.028811597</v>
      </c>
      <c r="I10" s="17">
        <f t="shared" si="10"/>
        <v>0.02773229192</v>
      </c>
      <c r="J10" s="24">
        <f t="shared" si="3"/>
        <v>3131.199933</v>
      </c>
      <c r="K10" s="24">
        <v>1444.1538718291056</v>
      </c>
      <c r="L10" s="25">
        <v>1.1395193591455273</v>
      </c>
      <c r="M10" s="26">
        <v>2747.8251318101934</v>
      </c>
      <c r="N10" s="27">
        <v>0.46121419986515405</v>
      </c>
      <c r="O10" s="2"/>
      <c r="P10" s="2"/>
      <c r="Q10" s="2"/>
    </row>
    <row r="11">
      <c r="A11" s="14">
        <v>9.0</v>
      </c>
      <c r="B11" s="15">
        <v>3360.0</v>
      </c>
      <c r="C11" s="15">
        <v>3659.0</v>
      </c>
      <c r="D11" s="15">
        <v>7496500.0</v>
      </c>
      <c r="E11" s="15">
        <v>3334100.0</v>
      </c>
      <c r="F11" s="16">
        <f t="shared" ref="F11:I11" si="11">B11/B$13</f>
        <v>0.1056703463</v>
      </c>
      <c r="G11" s="17">
        <f t="shared" si="11"/>
        <v>0.05972902383</v>
      </c>
      <c r="H11" s="17">
        <f t="shared" si="11"/>
        <v>0.02302360198</v>
      </c>
      <c r="I11" s="17">
        <f t="shared" si="11"/>
        <v>0.02137022559</v>
      </c>
      <c r="J11" s="24">
        <f t="shared" si="3"/>
        <v>2231.10119</v>
      </c>
      <c r="K11" s="24">
        <v>992.2916666666666</v>
      </c>
      <c r="L11" s="25">
        <v>1.0889880952380953</v>
      </c>
      <c r="M11" s="26">
        <v>2048.7838207160426</v>
      </c>
      <c r="N11" s="27">
        <v>0.4447542186353632</v>
      </c>
      <c r="O11" s="2"/>
      <c r="P11" s="2"/>
      <c r="Q11" s="2"/>
    </row>
    <row r="12">
      <c r="A12" s="14">
        <v>10.0</v>
      </c>
      <c r="B12" s="15">
        <v>3186.0</v>
      </c>
      <c r="C12" s="15">
        <v>3270.0</v>
      </c>
      <c r="D12" s="15">
        <v>3740550.0</v>
      </c>
      <c r="E12" s="15">
        <v>1554795.0</v>
      </c>
      <c r="F12" s="16">
        <f t="shared" ref="F12:I12" si="12">B12/B$13</f>
        <v>0.1001981319</v>
      </c>
      <c r="G12" s="17">
        <f t="shared" si="12"/>
        <v>0.05337904016</v>
      </c>
      <c r="H12" s="17">
        <f t="shared" si="12"/>
        <v>0.01148815239</v>
      </c>
      <c r="I12" s="17">
        <f t="shared" si="12"/>
        <v>0.009965603878</v>
      </c>
      <c r="J12" s="28">
        <f t="shared" si="3"/>
        <v>1174.05838</v>
      </c>
      <c r="K12" s="28">
        <v>488.00847457627117</v>
      </c>
      <c r="L12" s="29">
        <v>1.0263653483992468</v>
      </c>
      <c r="M12" s="30">
        <v>1143.8990825688074</v>
      </c>
      <c r="N12" s="31">
        <v>0.4156594618438465</v>
      </c>
      <c r="O12" s="2"/>
      <c r="P12" s="2"/>
      <c r="Q12" s="2"/>
    </row>
    <row r="13">
      <c r="A13" s="32" t="s">
        <v>34</v>
      </c>
      <c r="B13" s="33">
        <f t="shared" ref="B13:I13" si="13">SUM(B3:B12)</f>
        <v>31797</v>
      </c>
      <c r="C13" s="33">
        <f t="shared" si="13"/>
        <v>61260</v>
      </c>
      <c r="D13" s="33">
        <f t="shared" si="13"/>
        <v>325600660</v>
      </c>
      <c r="E13" s="33">
        <f t="shared" si="13"/>
        <v>156016135</v>
      </c>
      <c r="F13" s="17">
        <f t="shared" si="13"/>
        <v>1</v>
      </c>
      <c r="G13" s="17">
        <f t="shared" si="13"/>
        <v>1</v>
      </c>
      <c r="H13" s="17">
        <f t="shared" si="13"/>
        <v>1</v>
      </c>
      <c r="I13" s="17">
        <f t="shared" si="13"/>
        <v>1</v>
      </c>
      <c r="J13" s="34"/>
      <c r="K13" s="35">
        <v>4906.630656980218</v>
      </c>
      <c r="L13" s="36">
        <v>1.926596848759317</v>
      </c>
      <c r="M13" s="37">
        <v>5315.061377734248</v>
      </c>
      <c r="N13" s="16">
        <v>0.4791640625052787</v>
      </c>
      <c r="O13" s="2"/>
      <c r="P13" s="2"/>
      <c r="Q13" s="2"/>
    </row>
    <row r="14">
      <c r="A14" s="38" t="s">
        <v>35</v>
      </c>
      <c r="B14" s="39"/>
      <c r="C14" s="39"/>
      <c r="D14" s="39"/>
      <c r="E14" s="39"/>
      <c r="F14" s="8"/>
      <c r="G14" s="9"/>
      <c r="H14" s="9"/>
      <c r="I14" s="2"/>
      <c r="J14" s="2"/>
      <c r="K14" s="2"/>
      <c r="L14" s="2"/>
      <c r="M14" s="2"/>
      <c r="N14" s="2"/>
      <c r="O14" s="2"/>
      <c r="P14" s="2"/>
      <c r="Q14" s="2"/>
    </row>
    <row r="15">
      <c r="A15" s="40" t="s">
        <v>36</v>
      </c>
      <c r="B15" s="2"/>
      <c r="C15" s="2"/>
      <c r="D15" s="2"/>
      <c r="E15" s="2"/>
      <c r="F15" s="8"/>
      <c r="G15" s="9"/>
      <c r="H15" s="9"/>
      <c r="I15" s="2"/>
      <c r="J15" s="2"/>
      <c r="K15" s="2"/>
      <c r="L15" s="2"/>
      <c r="M15" s="2"/>
      <c r="N15" s="2"/>
      <c r="O15" s="2"/>
      <c r="P15" s="2"/>
      <c r="Q15" s="2"/>
    </row>
    <row r="16">
      <c r="A16" s="2"/>
      <c r="B16" s="2"/>
      <c r="C16" s="2"/>
      <c r="D16" s="2"/>
      <c r="E16" s="2"/>
      <c r="F16" s="8"/>
      <c r="G16" s="9"/>
      <c r="H16" s="9"/>
      <c r="I16" s="2"/>
      <c r="J16" s="2"/>
      <c r="K16" s="2"/>
      <c r="L16" s="2"/>
      <c r="M16" s="2"/>
      <c r="N16" s="2"/>
      <c r="O16" s="2"/>
      <c r="P16" s="2"/>
      <c r="Q16" s="2"/>
    </row>
    <row r="17">
      <c r="A17" s="2"/>
      <c r="B17" s="2"/>
      <c r="C17" s="2"/>
      <c r="D17" s="2"/>
      <c r="E17" s="2"/>
      <c r="F17" s="8"/>
      <c r="G17" s="9"/>
      <c r="H17" s="9"/>
      <c r="I17" s="2"/>
      <c r="J17" s="2"/>
      <c r="K17" s="2"/>
      <c r="L17" s="2"/>
      <c r="M17" s="2"/>
      <c r="N17" s="2"/>
      <c r="O17" s="2"/>
      <c r="P17" s="2"/>
      <c r="Q17" s="2"/>
    </row>
    <row r="18">
      <c r="A18" s="2"/>
      <c r="B18" s="2"/>
      <c r="C18" s="2"/>
      <c r="D18" s="2"/>
      <c r="E18" s="41"/>
      <c r="F18" s="2"/>
      <c r="G18" s="9"/>
      <c r="H18" s="9"/>
      <c r="I18" s="2"/>
      <c r="J18" s="2"/>
      <c r="K18" s="2"/>
      <c r="L18" s="2"/>
      <c r="M18" s="2"/>
      <c r="N18" s="2"/>
      <c r="O18" s="2"/>
      <c r="P18" s="2"/>
      <c r="Q18"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75"/>
    <col customWidth="1" min="2" max="2" width="36.5"/>
  </cols>
  <sheetData>
    <row r="1">
      <c r="A1" s="42" t="s">
        <v>37</v>
      </c>
      <c r="B1" s="43"/>
      <c r="C1" s="43"/>
      <c r="D1" s="43"/>
      <c r="E1" s="43"/>
      <c r="F1" s="43"/>
      <c r="G1" s="43"/>
      <c r="H1" s="43"/>
      <c r="I1" s="43"/>
      <c r="J1" s="43"/>
      <c r="K1" s="43"/>
      <c r="L1" s="43"/>
      <c r="M1" s="43"/>
    </row>
    <row r="2">
      <c r="A2" s="42" t="s">
        <v>38</v>
      </c>
      <c r="B2" s="43"/>
      <c r="C2" s="44" t="s">
        <v>39</v>
      </c>
      <c r="F2" s="43"/>
      <c r="G2" s="44" t="s">
        <v>40</v>
      </c>
    </row>
    <row r="3">
      <c r="A3" s="42" t="s">
        <v>41</v>
      </c>
      <c r="B3" s="43"/>
      <c r="C3" s="43"/>
      <c r="D3" s="43"/>
      <c r="E3" s="43"/>
      <c r="F3" s="43"/>
      <c r="G3" s="43"/>
      <c r="H3" s="43"/>
      <c r="I3" s="43"/>
      <c r="J3" s="43"/>
      <c r="K3" s="43"/>
      <c r="L3" s="43"/>
      <c r="M3" s="43"/>
    </row>
    <row r="4">
      <c r="A4" s="45" t="s">
        <v>42</v>
      </c>
      <c r="B4" s="43"/>
      <c r="C4" s="43"/>
      <c r="D4" s="46"/>
      <c r="E4" s="47" t="s">
        <v>43</v>
      </c>
      <c r="F4" s="43"/>
      <c r="G4" s="43"/>
      <c r="H4" s="46"/>
      <c r="I4" s="47" t="s">
        <v>44</v>
      </c>
      <c r="J4" s="43"/>
      <c r="K4" s="43"/>
      <c r="L4" s="43"/>
      <c r="M4" s="43"/>
    </row>
    <row r="5">
      <c r="A5" s="42" t="s">
        <v>45</v>
      </c>
      <c r="B5" s="43"/>
      <c r="C5" s="47" t="s">
        <v>25</v>
      </c>
      <c r="D5" s="43"/>
      <c r="E5" s="43"/>
      <c r="F5" s="43"/>
      <c r="G5" s="47" t="s">
        <v>26</v>
      </c>
      <c r="H5" s="43"/>
      <c r="I5" s="43"/>
      <c r="J5" s="43"/>
      <c r="K5" s="43"/>
      <c r="L5" s="43"/>
      <c r="M5" s="43"/>
    </row>
    <row r="6">
      <c r="A6" s="44" t="s">
        <v>46</v>
      </c>
      <c r="B6" s="43"/>
      <c r="C6" s="43"/>
      <c r="D6" s="48"/>
      <c r="E6" s="47" t="s">
        <v>47</v>
      </c>
      <c r="F6" s="43"/>
      <c r="G6" s="43"/>
      <c r="H6" s="48"/>
      <c r="I6" s="47" t="s">
        <v>28</v>
      </c>
      <c r="J6" s="46"/>
      <c r="K6" s="47" t="s">
        <v>31</v>
      </c>
      <c r="L6" s="43"/>
      <c r="M6" s="43"/>
    </row>
    <row r="7">
      <c r="A7" s="49" t="s">
        <v>48</v>
      </c>
      <c r="B7" s="43"/>
      <c r="C7" s="43"/>
      <c r="D7" s="43"/>
      <c r="E7" s="43"/>
      <c r="F7" s="43"/>
      <c r="G7" s="43"/>
      <c r="H7" s="43"/>
      <c r="I7" s="50"/>
      <c r="J7" s="43"/>
      <c r="K7" s="43"/>
      <c r="L7" s="43"/>
      <c r="M7" s="43"/>
    </row>
    <row r="8">
      <c r="A8" s="49" t="s">
        <v>49</v>
      </c>
      <c r="B8" s="51" t="s">
        <v>50</v>
      </c>
      <c r="C8" s="43"/>
      <c r="D8" s="43"/>
      <c r="E8" s="43"/>
      <c r="F8" s="43"/>
      <c r="G8" s="43"/>
      <c r="H8" s="43"/>
      <c r="I8" s="43"/>
      <c r="J8" s="48"/>
      <c r="K8" s="47" t="s">
        <v>51</v>
      </c>
      <c r="L8" s="46"/>
      <c r="M8" s="47" t="s">
        <v>52</v>
      </c>
    </row>
    <row r="9">
      <c r="A9" s="43"/>
      <c r="B9" s="43"/>
      <c r="C9" s="43"/>
      <c r="D9" s="43"/>
      <c r="E9" s="43"/>
      <c r="F9" s="43"/>
      <c r="G9" s="43"/>
      <c r="H9" s="43"/>
      <c r="I9" s="43"/>
      <c r="J9" s="43"/>
      <c r="K9" s="50"/>
      <c r="L9" s="43"/>
      <c r="M9" s="43"/>
    </row>
    <row r="10">
      <c r="A10" s="43"/>
      <c r="B10" s="43"/>
      <c r="C10" s="43"/>
      <c r="D10" s="43"/>
      <c r="E10" s="43"/>
      <c r="F10" s="43"/>
      <c r="G10" s="43"/>
      <c r="H10" s="43"/>
      <c r="I10" s="43"/>
      <c r="J10" s="43"/>
      <c r="K10" s="43"/>
      <c r="L10" s="48"/>
      <c r="M10" s="47" t="s">
        <v>30</v>
      </c>
    </row>
    <row r="11">
      <c r="A11" s="43"/>
      <c r="B11" s="43"/>
      <c r="C11" s="43"/>
      <c r="D11" s="43"/>
      <c r="E11" s="43"/>
      <c r="F11" s="43"/>
      <c r="G11" s="43"/>
      <c r="H11" s="43"/>
      <c r="I11" s="43"/>
      <c r="J11" s="43"/>
      <c r="K11" s="43"/>
      <c r="L11" s="43"/>
      <c r="M11" s="43"/>
    </row>
  </sheetData>
  <mergeCells count="2">
    <mergeCell ref="C2:E2"/>
    <mergeCell ref="G2:M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8.0"/>
  </cols>
  <sheetData>
    <row r="1">
      <c r="A1" s="52" t="s">
        <v>53</v>
      </c>
      <c r="B1" s="52" t="s">
        <v>23</v>
      </c>
      <c r="C1" s="52" t="s">
        <v>24</v>
      </c>
      <c r="D1" s="52" t="s">
        <v>25</v>
      </c>
      <c r="E1" s="52" t="s">
        <v>26</v>
      </c>
      <c r="F1" s="53" t="s">
        <v>54</v>
      </c>
    </row>
    <row r="2">
      <c r="A2" s="22" t="s">
        <v>55</v>
      </c>
      <c r="B2" s="23">
        <v>2943.0</v>
      </c>
      <c r="C2" s="23">
        <v>3683.0</v>
      </c>
      <c r="D2" s="23">
        <v>2.180398E7</v>
      </c>
      <c r="E2" s="23">
        <v>1.0398135E7</v>
      </c>
      <c r="F2" s="54">
        <f t="shared" ref="F2:F17" si="1">D2/B4</f>
        <v>69661.27796</v>
      </c>
    </row>
    <row r="3">
      <c r="A3" s="14" t="s">
        <v>56</v>
      </c>
      <c r="B3" s="15">
        <v>346.0</v>
      </c>
      <c r="C3" s="15">
        <v>513.0</v>
      </c>
      <c r="D3" s="15">
        <v>2765015.0</v>
      </c>
      <c r="E3" s="15">
        <v>1386330.0</v>
      </c>
      <c r="F3" s="54">
        <f t="shared" si="1"/>
        <v>5701.061856</v>
      </c>
    </row>
    <row r="4">
      <c r="A4" s="14" t="s">
        <v>57</v>
      </c>
      <c r="B4" s="15">
        <v>313.0</v>
      </c>
      <c r="C4" s="15">
        <v>451.0</v>
      </c>
      <c r="D4" s="15">
        <v>2352130.0</v>
      </c>
      <c r="E4" s="15">
        <v>1173700.0</v>
      </c>
      <c r="F4" s="54">
        <f t="shared" si="1"/>
        <v>7946.385135</v>
      </c>
    </row>
    <row r="5">
      <c r="A5" s="14" t="s">
        <v>58</v>
      </c>
      <c r="B5" s="15">
        <v>485.0</v>
      </c>
      <c r="C5" s="15">
        <v>819.0</v>
      </c>
      <c r="D5" s="15">
        <v>4692930.0</v>
      </c>
      <c r="E5" s="15">
        <v>2335300.0</v>
      </c>
      <c r="F5" s="54">
        <f t="shared" si="1"/>
        <v>16408.84615</v>
      </c>
    </row>
    <row r="6">
      <c r="A6" s="14" t="s">
        <v>59</v>
      </c>
      <c r="B6" s="15">
        <v>296.0</v>
      </c>
      <c r="C6" s="15">
        <v>435.0</v>
      </c>
      <c r="D6" s="15">
        <v>2411530.0</v>
      </c>
      <c r="E6" s="15">
        <v>1161600.0</v>
      </c>
      <c r="F6" s="54">
        <f t="shared" si="1"/>
        <v>9842.979592</v>
      </c>
    </row>
    <row r="7">
      <c r="A7" s="14" t="s">
        <v>60</v>
      </c>
      <c r="B7" s="15">
        <v>286.0</v>
      </c>
      <c r="C7" s="15">
        <v>453.0</v>
      </c>
      <c r="D7" s="15">
        <v>2186470.0</v>
      </c>
      <c r="E7" s="15">
        <v>1074425.0</v>
      </c>
      <c r="F7" s="54">
        <f t="shared" si="1"/>
        <v>5205.880952</v>
      </c>
    </row>
    <row r="8">
      <c r="A8" s="14" t="s">
        <v>61</v>
      </c>
      <c r="B8" s="15">
        <v>245.0</v>
      </c>
      <c r="C8" s="15">
        <v>396.0</v>
      </c>
      <c r="D8" s="15">
        <v>2040280.0</v>
      </c>
      <c r="E8" s="15">
        <v>988295.0</v>
      </c>
      <c r="F8" s="54">
        <f t="shared" si="1"/>
        <v>6539.358974</v>
      </c>
    </row>
    <row r="9">
      <c r="A9" s="14" t="s">
        <v>62</v>
      </c>
      <c r="B9" s="15">
        <v>420.0</v>
      </c>
      <c r="C9" s="15">
        <v>808.0</v>
      </c>
      <c r="D9" s="15">
        <v>4619175.0</v>
      </c>
      <c r="E9" s="15">
        <v>2215950.0</v>
      </c>
      <c r="F9" s="54">
        <f t="shared" si="1"/>
        <v>16438.3452</v>
      </c>
    </row>
    <row r="10">
      <c r="A10" s="14" t="s">
        <v>63</v>
      </c>
      <c r="B10" s="15">
        <v>312.0</v>
      </c>
      <c r="C10" s="15">
        <v>481.0</v>
      </c>
      <c r="D10" s="15">
        <v>2391565.0</v>
      </c>
      <c r="E10" s="15">
        <v>1101815.0</v>
      </c>
      <c r="F10" s="54">
        <f t="shared" si="1"/>
        <v>10870.75</v>
      </c>
    </row>
    <row r="11">
      <c r="A11" s="14" t="s">
        <v>64</v>
      </c>
      <c r="B11" s="15">
        <v>281.0</v>
      </c>
      <c r="C11" s="15">
        <v>462.0</v>
      </c>
      <c r="D11" s="15">
        <v>2061895.0</v>
      </c>
      <c r="E11" s="15">
        <v>960080.0</v>
      </c>
      <c r="F11" s="54">
        <f t="shared" si="1"/>
        <v>5759.48324</v>
      </c>
    </row>
    <row r="12">
      <c r="A12" s="14" t="s">
        <v>65</v>
      </c>
      <c r="B12" s="15">
        <v>220.0</v>
      </c>
      <c r="C12" s="15">
        <v>384.0</v>
      </c>
      <c r="D12" s="15">
        <v>1826220.0</v>
      </c>
      <c r="E12" s="15">
        <v>838310.0</v>
      </c>
      <c r="F12" s="54">
        <f t="shared" si="1"/>
        <v>7484.508197</v>
      </c>
    </row>
    <row r="13">
      <c r="A13" s="14" t="s">
        <v>66</v>
      </c>
      <c r="B13" s="15">
        <v>358.0</v>
      </c>
      <c r="C13" s="15">
        <v>722.0</v>
      </c>
      <c r="D13" s="15">
        <v>3652880.0</v>
      </c>
      <c r="E13" s="15">
        <v>1726835.0</v>
      </c>
      <c r="F13" s="54">
        <f t="shared" si="1"/>
        <v>15478.30508</v>
      </c>
    </row>
    <row r="14">
      <c r="A14" s="14" t="s">
        <v>67</v>
      </c>
      <c r="B14" s="15">
        <v>244.0</v>
      </c>
      <c r="C14" s="15">
        <v>397.0</v>
      </c>
      <c r="D14" s="15">
        <v>1945185.0</v>
      </c>
      <c r="E14" s="15">
        <v>908215.0</v>
      </c>
      <c r="F14" s="54">
        <f t="shared" si="1"/>
        <v>9677.537313</v>
      </c>
    </row>
    <row r="15">
      <c r="A15" s="14" t="s">
        <v>68</v>
      </c>
      <c r="B15" s="15">
        <v>236.0</v>
      </c>
      <c r="C15" s="15">
        <v>390.0</v>
      </c>
      <c r="D15" s="15">
        <v>1882925.0</v>
      </c>
      <c r="E15" s="15">
        <v>884840.0</v>
      </c>
      <c r="F15" s="54">
        <f t="shared" si="1"/>
        <v>5334.065156</v>
      </c>
    </row>
    <row r="16">
      <c r="A16" s="14" t="s">
        <v>69</v>
      </c>
      <c r="B16" s="15">
        <v>201.0</v>
      </c>
      <c r="C16" s="15">
        <v>338.0</v>
      </c>
      <c r="D16" s="15">
        <v>1504580.0</v>
      </c>
      <c r="E16" s="15">
        <v>703560.0</v>
      </c>
      <c r="F16" s="54" t="str">
        <f t="shared" si="1"/>
        <v>#DIV/0!</v>
      </c>
    </row>
    <row r="17">
      <c r="A17" s="55" t="s">
        <v>70</v>
      </c>
      <c r="B17" s="56">
        <v>353.0</v>
      </c>
      <c r="C17" s="56">
        <v>657.0</v>
      </c>
      <c r="D17" s="56">
        <v>3447070.0</v>
      </c>
      <c r="E17" s="56">
        <v>1627065.0</v>
      </c>
      <c r="F17" s="54" t="str">
        <f t="shared" si="1"/>
        <v>#DIV/0!</v>
      </c>
    </row>
    <row r="21">
      <c r="A21" s="57" t="s">
        <v>71</v>
      </c>
      <c r="B21" s="2"/>
      <c r="C21" s="2" t="s">
        <v>72</v>
      </c>
      <c r="D21" s="2"/>
      <c r="E21" s="2"/>
      <c r="F21" s="2"/>
      <c r="G21" s="2"/>
      <c r="H21" s="2"/>
    </row>
    <row r="22">
      <c r="A22" s="58" t="s">
        <v>73</v>
      </c>
      <c r="B22" s="2"/>
      <c r="C22" s="2"/>
      <c r="D22" s="2"/>
      <c r="E22" s="2"/>
      <c r="F22" s="2"/>
      <c r="G22" s="2"/>
      <c r="H22" s="2"/>
    </row>
    <row r="23">
      <c r="A23" s="58" t="s">
        <v>74</v>
      </c>
      <c r="B23" s="2"/>
      <c r="C23" s="44" t="s">
        <v>75</v>
      </c>
      <c r="H23" s="2"/>
    </row>
    <row r="24">
      <c r="A24" s="58" t="s">
        <v>76</v>
      </c>
      <c r="B24" s="2"/>
      <c r="C24" s="43"/>
      <c r="D24" s="43"/>
      <c r="E24" s="43"/>
      <c r="F24" s="46"/>
      <c r="G24" s="47" t="s">
        <v>77</v>
      </c>
      <c r="H24" s="2"/>
    </row>
    <row r="25">
      <c r="A25" s="58" t="s">
        <v>78</v>
      </c>
      <c r="B25" s="2"/>
      <c r="C25" s="43"/>
      <c r="D25" s="46"/>
      <c r="E25" s="47" t="s">
        <v>79</v>
      </c>
      <c r="F25" s="43"/>
      <c r="G25" s="43"/>
      <c r="H25" s="13" t="s">
        <v>80</v>
      </c>
    </row>
    <row r="26">
      <c r="A26" s="58" t="s">
        <v>81</v>
      </c>
      <c r="B26" s="2"/>
      <c r="C26" s="47" t="s">
        <v>82</v>
      </c>
      <c r="D26" s="43"/>
      <c r="E26" s="43"/>
      <c r="F26" s="48"/>
      <c r="G26" s="59" t="s">
        <v>83</v>
      </c>
    </row>
    <row r="27">
      <c r="A27" s="58" t="s">
        <v>84</v>
      </c>
      <c r="B27" s="2"/>
      <c r="C27" s="43"/>
      <c r="D27" s="60"/>
      <c r="E27" s="2"/>
      <c r="F27" s="43"/>
      <c r="G27" s="43"/>
    </row>
    <row r="28">
      <c r="A28" s="58" t="s">
        <v>85</v>
      </c>
      <c r="B28" s="2"/>
      <c r="C28" s="43"/>
      <c r="D28" s="60"/>
      <c r="E28" s="2"/>
      <c r="F28" s="46"/>
      <c r="G28" s="47" t="s">
        <v>86</v>
      </c>
      <c r="H28" s="2"/>
    </row>
    <row r="29">
      <c r="A29" s="58" t="s">
        <v>87</v>
      </c>
      <c r="B29" s="2"/>
      <c r="C29" s="43"/>
      <c r="D29" s="48"/>
      <c r="E29" s="47" t="s">
        <v>88</v>
      </c>
      <c r="F29" s="43"/>
      <c r="G29" s="43"/>
      <c r="H29" s="2"/>
      <c r="K29" s="53" t="s">
        <v>89</v>
      </c>
    </row>
    <row r="30">
      <c r="A30" s="61" t="s">
        <v>46</v>
      </c>
      <c r="B30" s="2"/>
      <c r="C30" s="43"/>
      <c r="D30" s="43"/>
      <c r="E30" s="43"/>
      <c r="F30" s="48"/>
      <c r="G30" s="47" t="s">
        <v>90</v>
      </c>
      <c r="H30" s="2"/>
    </row>
    <row r="31">
      <c r="A31" s="61" t="s">
        <v>91</v>
      </c>
      <c r="B31" s="2"/>
      <c r="C31" s="43"/>
      <c r="D31" s="43"/>
      <c r="E31" s="43"/>
      <c r="F31" s="2"/>
      <c r="G31" s="2"/>
      <c r="H31" s="2"/>
    </row>
    <row r="32">
      <c r="A32" s="58" t="s">
        <v>92</v>
      </c>
      <c r="B32" s="2"/>
      <c r="C32" s="2"/>
      <c r="D32" s="2"/>
      <c r="E32" s="2"/>
      <c r="F32" s="2"/>
      <c r="G32" s="2"/>
      <c r="H32" s="2"/>
    </row>
    <row r="33">
      <c r="A33" s="58" t="s">
        <v>93</v>
      </c>
      <c r="B33" s="2"/>
      <c r="C33" s="2"/>
      <c r="D33" s="2"/>
      <c r="E33" s="2"/>
      <c r="F33" s="2"/>
      <c r="G33" s="2"/>
      <c r="H33" s="2"/>
    </row>
    <row r="34">
      <c r="A34" s="58" t="s">
        <v>94</v>
      </c>
      <c r="B34" s="2"/>
      <c r="C34" s="2"/>
      <c r="D34" s="2"/>
      <c r="E34" s="2"/>
      <c r="F34" s="2"/>
      <c r="G34" s="2"/>
      <c r="H34" s="2"/>
    </row>
  </sheetData>
  <mergeCells count="2">
    <mergeCell ref="C23:G23"/>
    <mergeCell ref="H25:H2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0.38"/>
  </cols>
  <sheetData>
    <row r="1">
      <c r="A1" s="62" t="s">
        <v>95</v>
      </c>
      <c r="B1" s="2"/>
      <c r="C1" s="2"/>
      <c r="D1" s="2"/>
      <c r="E1" s="34"/>
      <c r="F1" s="2"/>
      <c r="G1" s="62" t="s">
        <v>96</v>
      </c>
      <c r="H1" s="2"/>
      <c r="I1" s="2"/>
      <c r="J1" s="2"/>
      <c r="K1" s="2"/>
      <c r="L1" s="2"/>
      <c r="M1" s="62" t="s">
        <v>97</v>
      </c>
      <c r="N1" s="2"/>
      <c r="O1" s="2"/>
      <c r="P1" s="2"/>
      <c r="Q1" s="2"/>
    </row>
    <row r="2">
      <c r="A2" s="52" t="s">
        <v>53</v>
      </c>
      <c r="B2" s="52" t="s">
        <v>23</v>
      </c>
      <c r="C2" s="52" t="s">
        <v>24</v>
      </c>
      <c r="D2" s="52" t="s">
        <v>25</v>
      </c>
      <c r="E2" s="63" t="s">
        <v>26</v>
      </c>
      <c r="F2" s="2"/>
      <c r="G2" s="52" t="s">
        <v>53</v>
      </c>
      <c r="H2" s="52" t="s">
        <v>23</v>
      </c>
      <c r="I2" s="52" t="s">
        <v>24</v>
      </c>
      <c r="J2" s="52" t="s">
        <v>25</v>
      </c>
      <c r="K2" s="52" t="s">
        <v>26</v>
      </c>
      <c r="L2" s="2"/>
      <c r="M2" s="52" t="s">
        <v>53</v>
      </c>
      <c r="N2" s="52" t="s">
        <v>23</v>
      </c>
      <c r="O2" s="52" t="s">
        <v>24</v>
      </c>
      <c r="P2" s="52" t="s">
        <v>25</v>
      </c>
      <c r="Q2" s="52" t="s">
        <v>26</v>
      </c>
    </row>
    <row r="3">
      <c r="A3" s="14" t="s">
        <v>57</v>
      </c>
      <c r="B3" s="15">
        <v>2842.0</v>
      </c>
      <c r="C3" s="15">
        <v>3593.0</v>
      </c>
      <c r="D3" s="15">
        <v>1.8866045E7</v>
      </c>
      <c r="E3" s="64">
        <v>9389215.0</v>
      </c>
      <c r="F3" s="2"/>
      <c r="G3" s="65"/>
      <c r="H3" s="66"/>
      <c r="I3" s="66"/>
      <c r="J3" s="15">
        <v>0.0</v>
      </c>
      <c r="K3" s="15">
        <v>0.0</v>
      </c>
      <c r="L3" s="2"/>
      <c r="M3" s="65"/>
      <c r="N3" s="66"/>
      <c r="O3" s="66"/>
      <c r="P3" s="15">
        <v>0.0</v>
      </c>
      <c r="Q3" s="15">
        <v>0.0</v>
      </c>
    </row>
    <row r="4">
      <c r="A4" s="14" t="s">
        <v>58</v>
      </c>
      <c r="B4" s="15">
        <v>529.0</v>
      </c>
      <c r="C4" s="15">
        <v>818.0</v>
      </c>
      <c r="D4" s="15">
        <v>4377010.0</v>
      </c>
      <c r="E4" s="64">
        <v>2173325.0</v>
      </c>
      <c r="F4" s="2"/>
      <c r="G4" s="14" t="s">
        <v>58</v>
      </c>
      <c r="H4" s="15">
        <v>6161.0</v>
      </c>
      <c r="I4" s="15">
        <v>7980.0</v>
      </c>
      <c r="J4" s="15">
        <v>5.0815985E7</v>
      </c>
      <c r="K4" s="15">
        <v>2.616405E7</v>
      </c>
      <c r="L4" s="2"/>
      <c r="M4" s="65"/>
      <c r="N4" s="66"/>
      <c r="O4" s="66"/>
      <c r="P4" s="15">
        <v>0.0</v>
      </c>
      <c r="Q4" s="15">
        <v>0.0</v>
      </c>
    </row>
    <row r="5">
      <c r="A5" s="14" t="s">
        <v>59</v>
      </c>
      <c r="B5" s="15">
        <v>237.0</v>
      </c>
      <c r="C5" s="15">
        <v>325.0</v>
      </c>
      <c r="D5" s="15">
        <v>1908940.0</v>
      </c>
      <c r="E5" s="64">
        <v>942755.0</v>
      </c>
      <c r="F5" s="2"/>
      <c r="G5" s="14" t="s">
        <v>59</v>
      </c>
      <c r="H5" s="15">
        <v>619.0</v>
      </c>
      <c r="I5" s="15">
        <v>939.0</v>
      </c>
      <c r="J5" s="15">
        <v>5396435.0</v>
      </c>
      <c r="K5" s="15">
        <v>2596110.0</v>
      </c>
      <c r="L5" s="2"/>
      <c r="M5" s="65"/>
      <c r="N5" s="66"/>
      <c r="O5" s="66"/>
      <c r="P5" s="15">
        <v>0.0</v>
      </c>
      <c r="Q5" s="15">
        <v>0.0</v>
      </c>
    </row>
    <row r="6">
      <c r="A6" s="14" t="s">
        <v>60</v>
      </c>
      <c r="B6" s="15">
        <v>318.0</v>
      </c>
      <c r="C6" s="15">
        <v>467.0</v>
      </c>
      <c r="D6" s="15">
        <v>2357300.0</v>
      </c>
      <c r="E6" s="64">
        <v>1154450.0</v>
      </c>
      <c r="F6" s="2"/>
      <c r="G6" s="14" t="s">
        <v>60</v>
      </c>
      <c r="H6" s="15">
        <v>546.0</v>
      </c>
      <c r="I6" s="15">
        <v>855.0</v>
      </c>
      <c r="J6" s="15">
        <v>4014505.0</v>
      </c>
      <c r="K6" s="15">
        <v>1990010.0</v>
      </c>
      <c r="L6" s="2"/>
      <c r="M6" s="65"/>
      <c r="N6" s="66"/>
      <c r="O6" s="66"/>
      <c r="P6" s="15">
        <v>0.0</v>
      </c>
      <c r="Q6" s="15">
        <v>0.0</v>
      </c>
    </row>
    <row r="7">
      <c r="A7" s="14" t="s">
        <v>61</v>
      </c>
      <c r="B7" s="15">
        <v>317.0</v>
      </c>
      <c r="C7" s="15">
        <v>468.0</v>
      </c>
      <c r="D7" s="15">
        <v>2213530.0</v>
      </c>
      <c r="E7" s="64">
        <v>1063370.0</v>
      </c>
      <c r="F7" s="2"/>
      <c r="G7" s="14" t="s">
        <v>61</v>
      </c>
      <c r="H7" s="15">
        <v>451.0</v>
      </c>
      <c r="I7" s="15">
        <v>696.0</v>
      </c>
      <c r="J7" s="15">
        <v>3515930.0</v>
      </c>
      <c r="K7" s="15">
        <v>1742015.0</v>
      </c>
      <c r="L7" s="2"/>
      <c r="M7" s="65"/>
      <c r="N7" s="66"/>
      <c r="O7" s="66"/>
      <c r="P7" s="15">
        <v>0.0</v>
      </c>
      <c r="Q7" s="15">
        <v>0.0</v>
      </c>
    </row>
    <row r="8">
      <c r="A8" s="14" t="s">
        <v>62</v>
      </c>
      <c r="B8" s="15">
        <v>366.0</v>
      </c>
      <c r="C8" s="15">
        <v>615.0</v>
      </c>
      <c r="D8" s="15">
        <v>3017685.0</v>
      </c>
      <c r="E8" s="64">
        <v>1435610.0</v>
      </c>
      <c r="F8" s="2"/>
      <c r="G8" s="14" t="s">
        <v>62</v>
      </c>
      <c r="H8" s="15">
        <v>939.0</v>
      </c>
      <c r="I8" s="15">
        <v>1579.0</v>
      </c>
      <c r="J8" s="15">
        <v>8754185.0</v>
      </c>
      <c r="K8" s="15">
        <v>4264700.0</v>
      </c>
      <c r="L8" s="2"/>
      <c r="M8" s="14" t="s">
        <v>62</v>
      </c>
      <c r="N8" s="15">
        <v>5881.0</v>
      </c>
      <c r="O8" s="15">
        <v>7651.0</v>
      </c>
      <c r="P8" s="15">
        <v>4.608989E7</v>
      </c>
      <c r="Q8" s="15">
        <v>2.257783E7</v>
      </c>
    </row>
    <row r="9">
      <c r="A9" s="14" t="s">
        <v>63</v>
      </c>
      <c r="B9" s="15">
        <v>234.0</v>
      </c>
      <c r="C9" s="15">
        <v>339.0</v>
      </c>
      <c r="D9" s="15">
        <v>1575365.0</v>
      </c>
      <c r="E9" s="64">
        <v>740795.0</v>
      </c>
      <c r="F9" s="2"/>
      <c r="G9" s="14" t="s">
        <v>63</v>
      </c>
      <c r="H9" s="15">
        <v>418.0</v>
      </c>
      <c r="I9" s="15">
        <v>687.0</v>
      </c>
      <c r="J9" s="15">
        <v>3430020.0</v>
      </c>
      <c r="K9" s="15">
        <v>1596375.0</v>
      </c>
      <c r="L9" s="2"/>
      <c r="M9" s="14" t="s">
        <v>63</v>
      </c>
      <c r="N9" s="15">
        <v>690.0</v>
      </c>
      <c r="O9" s="15">
        <v>1011.0</v>
      </c>
      <c r="P9" s="15">
        <v>5531845.0</v>
      </c>
      <c r="Q9" s="15">
        <v>2540340.0</v>
      </c>
    </row>
    <row r="10">
      <c r="A10" s="14" t="s">
        <v>64</v>
      </c>
      <c r="B10" s="15">
        <v>254.0</v>
      </c>
      <c r="C10" s="15">
        <v>408.0</v>
      </c>
      <c r="D10" s="15">
        <v>1804770.0</v>
      </c>
      <c r="E10" s="64">
        <v>868560.0</v>
      </c>
      <c r="F10" s="2"/>
      <c r="G10" s="14" t="s">
        <v>64</v>
      </c>
      <c r="H10" s="15">
        <v>442.0</v>
      </c>
      <c r="I10" s="15">
        <v>738.0</v>
      </c>
      <c r="J10" s="15">
        <v>3375460.0</v>
      </c>
      <c r="K10" s="15">
        <v>1614635.0</v>
      </c>
      <c r="L10" s="2"/>
      <c r="M10" s="14" t="s">
        <v>64</v>
      </c>
      <c r="N10" s="15">
        <v>473.0</v>
      </c>
      <c r="O10" s="15">
        <v>675.0</v>
      </c>
      <c r="P10" s="15">
        <v>3571370.0</v>
      </c>
      <c r="Q10" s="15">
        <v>1677170.0</v>
      </c>
    </row>
    <row r="11">
      <c r="A11" s="14" t="s">
        <v>65</v>
      </c>
      <c r="B11" s="15">
        <v>269.0</v>
      </c>
      <c r="C11" s="15">
        <v>385.0</v>
      </c>
      <c r="D11" s="15">
        <v>1582735.0</v>
      </c>
      <c r="E11" s="64">
        <v>742940.0</v>
      </c>
      <c r="F11" s="2"/>
      <c r="G11" s="14" t="s">
        <v>65</v>
      </c>
      <c r="H11" s="15">
        <v>430.0</v>
      </c>
      <c r="I11" s="15">
        <v>731.0</v>
      </c>
      <c r="J11" s="15">
        <v>3476385.0</v>
      </c>
      <c r="K11" s="15">
        <v>1640210.0</v>
      </c>
      <c r="L11" s="2"/>
      <c r="M11" s="14" t="s">
        <v>65</v>
      </c>
      <c r="N11" s="15">
        <v>420.0</v>
      </c>
      <c r="O11" s="15">
        <v>601.0</v>
      </c>
      <c r="P11" s="15">
        <v>2838000.0</v>
      </c>
      <c r="Q11" s="15">
        <v>1371040.0</v>
      </c>
    </row>
    <row r="12">
      <c r="A12" s="14" t="s">
        <v>66</v>
      </c>
      <c r="B12" s="15">
        <v>358.0</v>
      </c>
      <c r="C12" s="15">
        <v>625.0</v>
      </c>
      <c r="D12" s="15">
        <v>3222065.0</v>
      </c>
      <c r="E12" s="64">
        <v>1519155.0</v>
      </c>
      <c r="F12" s="2"/>
      <c r="G12" s="14" t="s">
        <v>66</v>
      </c>
      <c r="H12" s="15">
        <v>885.0</v>
      </c>
      <c r="I12" s="15">
        <v>1542.0</v>
      </c>
      <c r="J12" s="15">
        <v>8510590.0</v>
      </c>
      <c r="K12" s="15">
        <v>4095850.0</v>
      </c>
      <c r="L12" s="2"/>
      <c r="M12" s="14" t="s">
        <v>66</v>
      </c>
      <c r="N12" s="15">
        <v>999.0</v>
      </c>
      <c r="O12" s="15">
        <v>1660.0</v>
      </c>
      <c r="P12" s="15">
        <v>8927160.0</v>
      </c>
      <c r="Q12" s="15">
        <v>4306665.0</v>
      </c>
    </row>
    <row r="13">
      <c r="A13" s="14" t="s">
        <v>67</v>
      </c>
      <c r="B13" s="15">
        <v>220.0</v>
      </c>
      <c r="C13" s="15">
        <v>323.0</v>
      </c>
      <c r="D13" s="15">
        <v>1638945.0</v>
      </c>
      <c r="E13" s="64">
        <v>766755.0</v>
      </c>
      <c r="F13" s="2"/>
      <c r="G13" s="14" t="s">
        <v>67</v>
      </c>
      <c r="H13" s="15">
        <v>381.0</v>
      </c>
      <c r="I13" s="15">
        <v>625.0</v>
      </c>
      <c r="J13" s="15">
        <v>3439535.0</v>
      </c>
      <c r="K13" s="15">
        <v>1651705.0</v>
      </c>
      <c r="L13" s="2"/>
      <c r="M13" s="14" t="s">
        <v>67</v>
      </c>
      <c r="N13" s="15">
        <v>387.0</v>
      </c>
      <c r="O13" s="15">
        <v>562.0</v>
      </c>
      <c r="P13" s="15">
        <v>3135275.0</v>
      </c>
      <c r="Q13" s="15">
        <v>1509805.0</v>
      </c>
    </row>
    <row r="14">
      <c r="A14" s="14" t="s">
        <v>68</v>
      </c>
      <c r="B14" s="15">
        <v>224.0</v>
      </c>
      <c r="C14" s="15">
        <v>338.0</v>
      </c>
      <c r="D14" s="15">
        <v>1742675.0</v>
      </c>
      <c r="E14" s="64">
        <v>828905.0</v>
      </c>
      <c r="F14" s="2"/>
      <c r="G14" s="14" t="s">
        <v>68</v>
      </c>
      <c r="H14" s="15">
        <v>384.0</v>
      </c>
      <c r="I14" s="15">
        <v>654.0</v>
      </c>
      <c r="J14" s="15">
        <v>3467475.0</v>
      </c>
      <c r="K14" s="15">
        <v>1650495.0</v>
      </c>
      <c r="L14" s="2"/>
      <c r="M14" s="14" t="s">
        <v>68</v>
      </c>
      <c r="N14" s="15">
        <v>343.0</v>
      </c>
      <c r="O14" s="15">
        <v>522.0</v>
      </c>
      <c r="P14" s="15">
        <v>2546775.0</v>
      </c>
      <c r="Q14" s="15">
        <v>1241075.0</v>
      </c>
    </row>
    <row r="15">
      <c r="A15" s="14" t="s">
        <v>69</v>
      </c>
      <c r="B15" s="15">
        <v>230.0</v>
      </c>
      <c r="C15" s="15">
        <v>349.0</v>
      </c>
      <c r="D15" s="15">
        <v>1446720.0</v>
      </c>
      <c r="E15" s="64">
        <v>692780.0</v>
      </c>
      <c r="F15" s="2"/>
      <c r="G15" s="14" t="s">
        <v>69</v>
      </c>
      <c r="H15" s="15">
        <v>351.0</v>
      </c>
      <c r="I15" s="15">
        <v>561.0</v>
      </c>
      <c r="J15" s="15">
        <v>2413840.0</v>
      </c>
      <c r="K15" s="15">
        <v>1158025.0</v>
      </c>
      <c r="L15" s="2"/>
      <c r="M15" s="14" t="s">
        <v>69</v>
      </c>
      <c r="N15" s="15">
        <v>356.0</v>
      </c>
      <c r="O15" s="15">
        <v>518.0</v>
      </c>
      <c r="P15" s="15">
        <v>2251975.0</v>
      </c>
      <c r="Q15" s="15">
        <v>1074480.0</v>
      </c>
    </row>
    <row r="16">
      <c r="A16" s="55" t="s">
        <v>70</v>
      </c>
      <c r="B16" s="56">
        <v>311.0</v>
      </c>
      <c r="C16" s="56">
        <v>523.0</v>
      </c>
      <c r="D16" s="56">
        <v>2693735.0</v>
      </c>
      <c r="E16" s="67">
        <v>1293325.0</v>
      </c>
      <c r="F16" s="2"/>
      <c r="G16" s="55" t="s">
        <v>70</v>
      </c>
      <c r="H16" s="56">
        <v>743.0</v>
      </c>
      <c r="I16" s="56">
        <v>1364.0</v>
      </c>
      <c r="J16" s="56">
        <v>7542645.0</v>
      </c>
      <c r="K16" s="56">
        <v>3669875.0</v>
      </c>
      <c r="L16" s="2"/>
      <c r="M16" s="55" t="s">
        <v>70</v>
      </c>
      <c r="N16" s="56">
        <v>778.0</v>
      </c>
      <c r="O16" s="56">
        <v>1300.0</v>
      </c>
      <c r="P16" s="56">
        <v>7285410.0</v>
      </c>
      <c r="Q16" s="56">
        <v>3469510.0</v>
      </c>
    </row>
    <row r="17">
      <c r="A17" s="2"/>
      <c r="B17" s="2"/>
      <c r="C17" s="35">
        <f t="shared" ref="C17:E17" si="1">STDEV(C2:C16)/AVERAGE(C2:C16)</f>
        <v>1.242120348</v>
      </c>
      <c r="D17" s="35">
        <f t="shared" si="1"/>
        <v>1.303056809</v>
      </c>
      <c r="E17" s="35">
        <f t="shared" si="1"/>
        <v>1.336591609</v>
      </c>
      <c r="F17" s="2"/>
      <c r="G17" s="2"/>
      <c r="H17" s="2"/>
      <c r="I17" s="35">
        <f t="shared" ref="I17:K17" si="2">STDEV(I4:I12)/AVERAGE(I4:I12)</f>
        <v>1.350201095</v>
      </c>
      <c r="J17" s="35">
        <f t="shared" si="2"/>
        <v>1.518614684</v>
      </c>
      <c r="K17" s="35">
        <f t="shared" si="2"/>
        <v>1.570744487</v>
      </c>
      <c r="L17" s="2"/>
      <c r="M17" s="2"/>
      <c r="N17" s="2"/>
      <c r="O17" s="35">
        <f t="shared" ref="O17:Q17" si="3">STDEV(O2:O16)/AVERAGE(O2:O16)</f>
        <v>1.427550599</v>
      </c>
      <c r="P17" s="35">
        <f t="shared" si="3"/>
        <v>2.030915916</v>
      </c>
      <c r="Q17" s="35">
        <f t="shared" si="3"/>
        <v>2.056224047</v>
      </c>
    </row>
    <row r="21">
      <c r="A21" s="68" t="s">
        <v>98</v>
      </c>
      <c r="B21" s="2"/>
      <c r="C21" s="2" t="s">
        <v>72</v>
      </c>
      <c r="D21" s="2"/>
      <c r="E21" s="2"/>
      <c r="F21" s="2"/>
      <c r="G21" s="2"/>
    </row>
    <row r="22">
      <c r="A22" s="58" t="s">
        <v>99</v>
      </c>
      <c r="B22" s="2"/>
      <c r="C22" s="2"/>
      <c r="D22" s="2"/>
      <c r="E22" s="2"/>
      <c r="F22" s="2"/>
      <c r="G22" s="2"/>
    </row>
    <row r="23">
      <c r="A23" s="61" t="s">
        <v>46</v>
      </c>
      <c r="B23" s="2"/>
      <c r="C23" s="44" t="s">
        <v>75</v>
      </c>
    </row>
    <row r="24">
      <c r="A24" s="69"/>
      <c r="B24" s="2"/>
      <c r="C24" s="43"/>
      <c r="D24" s="43"/>
      <c r="E24" s="43"/>
      <c r="F24" s="46"/>
      <c r="G24" s="47" t="s">
        <v>77</v>
      </c>
    </row>
    <row r="25">
      <c r="A25" s="61" t="s">
        <v>100</v>
      </c>
      <c r="B25" s="70" t="s">
        <v>101</v>
      </c>
      <c r="C25" s="43"/>
      <c r="D25" s="46"/>
      <c r="E25" s="47" t="s">
        <v>102</v>
      </c>
      <c r="F25" s="43"/>
      <c r="G25" s="43"/>
    </row>
    <row r="26">
      <c r="A26" s="58" t="s">
        <v>103</v>
      </c>
      <c r="B26" s="71" t="s">
        <v>104</v>
      </c>
      <c r="C26" s="72" t="s">
        <v>105</v>
      </c>
      <c r="D26" s="43"/>
      <c r="E26" s="43"/>
      <c r="F26" s="48"/>
      <c r="G26" s="59" t="s">
        <v>106</v>
      </c>
    </row>
    <row r="27">
      <c r="A27" s="58" t="s">
        <v>107</v>
      </c>
      <c r="B27" s="71" t="s">
        <v>108</v>
      </c>
      <c r="C27" s="43"/>
      <c r="D27" s="60"/>
      <c r="E27" s="2"/>
      <c r="F27" s="43"/>
      <c r="G27" s="43"/>
    </row>
    <row r="28">
      <c r="A28" s="58" t="s">
        <v>109</v>
      </c>
      <c r="B28" s="71" t="s">
        <v>110</v>
      </c>
      <c r="C28" s="43"/>
      <c r="D28" s="60"/>
      <c r="E28" s="2"/>
      <c r="F28" s="46"/>
      <c r="G28" s="47" t="s">
        <v>86</v>
      </c>
    </row>
    <row r="29">
      <c r="A29" s="2"/>
      <c r="B29" s="2"/>
      <c r="C29" s="43"/>
      <c r="D29" s="48"/>
      <c r="E29" s="47" t="s">
        <v>111</v>
      </c>
      <c r="F29" s="43"/>
      <c r="G29" s="43"/>
    </row>
    <row r="30">
      <c r="A30" s="2"/>
      <c r="B30" s="2"/>
      <c r="C30" s="43"/>
      <c r="D30" s="43"/>
      <c r="E30" s="43"/>
      <c r="F30" s="48"/>
      <c r="G30" s="47" t="s">
        <v>112</v>
      </c>
    </row>
  </sheetData>
  <mergeCells count="1">
    <mergeCell ref="C23:G2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